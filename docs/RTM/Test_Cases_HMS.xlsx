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Cases'!$A$4:$L$82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15" min="1" max="1"/>
    <col width="22" customWidth="1" style="15" min="2" max="2"/>
    <col width="24" customWidth="1" style="15" min="3" max="3"/>
    <col width="52" customWidth="1" style="15" min="4" max="4"/>
    <col width="44" customWidth="1" style="15" min="5" max="5"/>
    <col width="12" customWidth="1" style="15" min="6" max="6"/>
    <col width="8" customWidth="1" style="15" min="7" max="7"/>
    <col width="10" customWidth="1" style="15" min="8" max="8"/>
    <col width="11" customWidth="1" style="15" min="9" max="9"/>
    <col width="12" customWidth="1" style="15" min="10" max="10"/>
    <col width="16" customWidth="1" style="15" min="11" max="11"/>
    <col width="13" customWidth="1" style="15" min="12" max="12"/>
  </cols>
  <sheetData>
    <row r="1" ht="16.15" customHeight="1" s="16">
      <c r="A1" s="17" t="inlineStr">
        <is>
          <t>Hospital Patient Record and Appointment Management System - Test Cases</t>
        </is>
      </c>
    </row>
    <row r="2" ht="15" customHeight="1" s="16">
      <c r="A2" s="18" t="inlineStr">
        <is>
          <t>Fill the yellow columns (Status, Defect ID, Executed By, Date) during execution. Status values: Not run, Pass, Fail, Blocked. Example: Pass | (blank) | Rohan Agarwal | 20-Oct-2026. IDs follow SRS v1.0 and STP v1.0.</t>
        </is>
      </c>
    </row>
    <row r="4" ht="15" customHeight="1" s="16">
      <c r="A4" s="19" t="inlineStr">
        <is>
          <t>Test Case ID</t>
        </is>
      </c>
      <c r="B4" s="19" t="inlineStr">
        <is>
          <t>Module</t>
        </is>
      </c>
      <c r="C4" s="19" t="inlineStr">
        <is>
          <t>Requirement ID(s)</t>
        </is>
      </c>
      <c r="D4" s="19" t="inlineStr">
        <is>
          <t>Scenario / Steps</t>
        </is>
      </c>
      <c r="E4" s="19" t="inlineStr">
        <is>
          <t>Expected Result</t>
        </is>
      </c>
      <c r="F4" s="19" t="inlineStr">
        <is>
          <t>Level</t>
        </is>
      </c>
      <c r="G4" s="19" t="inlineStr">
        <is>
          <t>Sprint</t>
        </is>
      </c>
      <c r="H4" s="19" t="inlineStr">
        <is>
          <t>Priority</t>
        </is>
      </c>
      <c r="I4" s="19" t="inlineStr">
        <is>
          <t>Status</t>
        </is>
      </c>
      <c r="J4" s="19" t="inlineStr">
        <is>
          <t>Defect ID</t>
        </is>
      </c>
      <c r="K4" s="19" t="inlineStr">
        <is>
          <t>Executed By</t>
        </is>
      </c>
      <c r="L4" s="19" t="inlineStr">
        <is>
          <t>Date</t>
        </is>
      </c>
    </row>
    <row r="5" ht="23.85" customHeight="1" s="16">
      <c r="A5" s="20" t="inlineStr">
        <is>
          <t>TC-Auth-01</t>
        </is>
      </c>
      <c r="B5" s="20" t="inlineStr">
        <is>
          <t>Authentication</t>
        </is>
      </c>
      <c r="C5" s="20" t="inlineStr">
        <is>
          <t>HMS-F-001, HMS-SR-001</t>
        </is>
      </c>
      <c r="D5" s="20" t="inlineStr">
        <is>
          <t>Register a new patient with valid name, email and password</t>
        </is>
      </c>
      <c r="E5" s="20" t="inlineStr">
        <is>
          <t>201; account stored with bcrypt hash; password not in response</t>
        </is>
      </c>
      <c r="F5" s="21" t="inlineStr">
        <is>
          <t>Integration</t>
        </is>
      </c>
      <c r="G5" s="21" t="n">
        <v>1</v>
      </c>
      <c r="H5" s="21" t="inlineStr">
        <is>
          <t>High</t>
        </is>
      </c>
      <c r="I5" s="22" t="inlineStr">
        <is>
          <t>Pass</t>
        </is>
      </c>
      <c r="J5" s="23" t="n"/>
      <c r="K5" s="23" t="inlineStr">
        <is>
          <t>Rohan Agarwal</t>
        </is>
      </c>
      <c r="L5" s="23" t="inlineStr">
        <is>
          <t>26-Oct-2026</t>
        </is>
      </c>
    </row>
    <row r="6" ht="15" customHeight="1" s="16">
      <c r="A6" s="20" t="inlineStr">
        <is>
          <t>TC-Auth-02</t>
        </is>
      </c>
      <c r="B6" s="20" t="inlineStr">
        <is>
          <t>Authentication</t>
        </is>
      </c>
      <c r="C6" s="20" t="inlineStr">
        <is>
          <t>HMS-F-001</t>
        </is>
      </c>
      <c r="D6" s="20" t="inlineStr">
        <is>
          <t>Register with an email that already exists</t>
        </is>
      </c>
      <c r="E6" s="20" t="inlineStr">
        <is>
          <t>409; no second account created</t>
        </is>
      </c>
      <c r="F6" s="21" t="inlineStr">
        <is>
          <t>Integration</t>
        </is>
      </c>
      <c r="G6" s="21" t="n">
        <v>1</v>
      </c>
      <c r="H6" s="21" t="inlineStr">
        <is>
          <t>High</t>
        </is>
      </c>
      <c r="I6" s="22" t="inlineStr">
        <is>
          <t>Pass</t>
        </is>
      </c>
      <c r="J6" s="23" t="n"/>
      <c r="K6" s="23" t="inlineStr">
        <is>
          <t>Rohan Agarwal</t>
        </is>
      </c>
      <c r="L6" s="23" t="inlineStr">
        <is>
          <t>26-Oct-2026</t>
        </is>
      </c>
    </row>
    <row r="7" ht="23.85" customHeight="1" s="16">
      <c r="A7" s="20" t="inlineStr">
        <is>
          <t>TC-Auth-03</t>
        </is>
      </c>
      <c r="B7" s="20" t="inlineStr">
        <is>
          <t>Authentication</t>
        </is>
      </c>
      <c r="C7" s="20" t="inlineStr">
        <is>
          <t>HMS-F-001</t>
        </is>
      </c>
      <c r="D7" s="20" t="inlineStr">
        <is>
          <t>Register with invalid email format, or password shorter than 8 characters</t>
        </is>
      </c>
      <c r="E7" s="20" t="inlineStr">
        <is>
          <t>400 with a clear message</t>
        </is>
      </c>
      <c r="F7" s="21" t="inlineStr">
        <is>
          <t>Unit</t>
        </is>
      </c>
      <c r="G7" s="21" t="n">
        <v>1</v>
      </c>
      <c r="H7" s="21" t="inlineStr">
        <is>
          <t>High</t>
        </is>
      </c>
      <c r="I7" s="22" t="inlineStr">
        <is>
          <t>Pass</t>
        </is>
      </c>
      <c r="J7" s="23" t="n"/>
      <c r="K7" s="23" t="inlineStr">
        <is>
          <t>Rohan Agarwal</t>
        </is>
      </c>
      <c r="L7" s="23" t="inlineStr">
        <is>
          <t>26-Oct-2026</t>
        </is>
      </c>
    </row>
    <row r="8" ht="15" customHeight="1" s="16">
      <c r="A8" s="20" t="inlineStr">
        <is>
          <t>TC-Auth-04</t>
        </is>
      </c>
      <c r="B8" s="20" t="inlineStr">
        <is>
          <t>Authentication</t>
        </is>
      </c>
      <c r="C8" s="20" t="inlineStr">
        <is>
          <t>HMS-F-002</t>
        </is>
      </c>
      <c r="D8" s="20" t="inlineStr">
        <is>
          <t>Log in with valid credentials</t>
        </is>
      </c>
      <c r="E8" s="20" t="inlineStr">
        <is>
          <t>200; JWT with user id, role and expiry</t>
        </is>
      </c>
      <c r="F8" s="21" t="inlineStr">
        <is>
          <t>Integration</t>
        </is>
      </c>
      <c r="G8" s="21" t="n">
        <v>1</v>
      </c>
      <c r="H8" s="21" t="inlineStr">
        <is>
          <t>High</t>
        </is>
      </c>
      <c r="I8" s="22" t="inlineStr">
        <is>
          <t>Pass</t>
        </is>
      </c>
      <c r="J8" s="23" t="n"/>
      <c r="K8" s="23" t="inlineStr">
        <is>
          <t>Rohan Agarwal</t>
        </is>
      </c>
      <c r="L8" s="23" t="inlineStr">
        <is>
          <t>26-Oct-2026</t>
        </is>
      </c>
    </row>
    <row r="9" ht="15" customHeight="1" s="16">
      <c r="A9" s="20" t="inlineStr">
        <is>
          <t>TC-Auth-05</t>
        </is>
      </c>
      <c r="B9" s="20" t="inlineStr">
        <is>
          <t>Authentication</t>
        </is>
      </c>
      <c r="C9" s="20" t="inlineStr">
        <is>
          <t>HMS-F-003</t>
        </is>
      </c>
      <c r="D9" s="20" t="inlineStr">
        <is>
          <t>Log in with correct email and wrong password</t>
        </is>
      </c>
      <c r="E9" s="20" t="inlineStr">
        <is>
          <t>401; generic message</t>
        </is>
      </c>
      <c r="F9" s="21" t="inlineStr">
        <is>
          <t>Integration</t>
        </is>
      </c>
      <c r="G9" s="21" t="n">
        <v>1</v>
      </c>
      <c r="H9" s="21" t="inlineStr">
        <is>
          <t>High</t>
        </is>
      </c>
      <c r="I9" s="22" t="inlineStr">
        <is>
          <t>Pass</t>
        </is>
      </c>
      <c r="J9" s="23" t="n"/>
      <c r="K9" s="23" t="inlineStr">
        <is>
          <t>Rohan Agarwal</t>
        </is>
      </c>
      <c r="L9" s="23" t="inlineStr">
        <is>
          <t>26-Oct-2026</t>
        </is>
      </c>
    </row>
    <row r="10" ht="15" customHeight="1" s="16">
      <c r="A10" s="20" t="inlineStr">
        <is>
          <t>TC-Auth-06</t>
        </is>
      </c>
      <c r="B10" s="20" t="inlineStr">
        <is>
          <t>Authentication</t>
        </is>
      </c>
      <c r="C10" s="20" t="inlineStr">
        <is>
          <t>HMS-F-003</t>
        </is>
      </c>
      <c r="D10" s="20" t="inlineStr">
        <is>
          <t>Log in with an unknown email</t>
        </is>
      </c>
      <c r="E10" s="20" t="inlineStr">
        <is>
          <t>401; same message as TC-Auth-05</t>
        </is>
      </c>
      <c r="F10" s="21" t="inlineStr">
        <is>
          <t>Integration</t>
        </is>
      </c>
      <c r="G10" s="21" t="n">
        <v>1</v>
      </c>
      <c r="H10" s="21" t="inlineStr">
        <is>
          <t>High</t>
        </is>
      </c>
      <c r="I10" s="22" t="inlineStr">
        <is>
          <t>Pass</t>
        </is>
      </c>
      <c r="J10" s="23" t="n"/>
      <c r="K10" s="23" t="inlineStr">
        <is>
          <t>Rohan Agarwal</t>
        </is>
      </c>
      <c r="L10" s="23" t="inlineStr">
        <is>
          <t>26-Oct-2026</t>
        </is>
      </c>
    </row>
    <row r="11" ht="15" customHeight="1" s="16">
      <c r="A11" s="20" t="inlineStr">
        <is>
          <t>TC-Auth-07</t>
        </is>
      </c>
      <c r="B11" s="20" t="inlineStr">
        <is>
          <t>Authentication</t>
        </is>
      </c>
      <c r="C11" s="20" t="inlineStr">
        <is>
          <t>HMS-F-004</t>
        </is>
      </c>
      <c r="D11" s="20" t="inlineStr">
        <is>
          <t>Call a protected endpoint without a token</t>
        </is>
      </c>
      <c r="E11" s="20" t="inlineStr">
        <is>
          <t>401</t>
        </is>
      </c>
      <c r="F11" s="21" t="inlineStr">
        <is>
          <t>Integration</t>
        </is>
      </c>
      <c r="G11" s="21" t="n">
        <v>1</v>
      </c>
      <c r="H11" s="21" t="inlineStr">
        <is>
          <t>High</t>
        </is>
      </c>
      <c r="I11" s="22" t="inlineStr">
        <is>
          <t>Pass</t>
        </is>
      </c>
      <c r="J11" s="23" t="n"/>
      <c r="K11" s="23" t="inlineStr">
        <is>
          <t>Rohan Agarwal</t>
        </is>
      </c>
      <c r="L11" s="23" t="inlineStr">
        <is>
          <t>26-Oct-2026</t>
        </is>
      </c>
    </row>
    <row r="12" ht="15" customHeight="1" s="16">
      <c r="A12" s="20" t="inlineStr">
        <is>
          <t>TC-Auth-08</t>
        </is>
      </c>
      <c r="B12" s="20" t="inlineStr">
        <is>
          <t>Authentication</t>
        </is>
      </c>
      <c r="C12" s="20" t="inlineStr">
        <is>
          <t>HMS-F-002, HMS-SR-002</t>
        </is>
      </c>
      <c r="D12" s="20" t="inlineStr">
        <is>
          <t>Call a protected endpoint with an expired or tampered token</t>
        </is>
      </c>
      <c r="E12" s="20" t="inlineStr">
        <is>
          <t>401</t>
        </is>
      </c>
      <c r="F12" s="21" t="inlineStr">
        <is>
          <t>Integration</t>
        </is>
      </c>
      <c r="G12" s="21" t="n">
        <v>1</v>
      </c>
      <c r="H12" s="21" t="inlineStr">
        <is>
          <t>High</t>
        </is>
      </c>
      <c r="I12" s="22" t="inlineStr">
        <is>
          <t>Pass</t>
        </is>
      </c>
      <c r="J12" s="23" t="n"/>
      <c r="K12" s="23" t="inlineStr">
        <is>
          <t>Rohan Agarwal</t>
        </is>
      </c>
      <c r="L12" s="23" t="inlineStr">
        <is>
          <t>26-Oct-2026</t>
        </is>
      </c>
    </row>
    <row r="13" ht="15" customHeight="1" s="16">
      <c r="A13" s="20" t="inlineStr">
        <is>
          <t>TC-Auth-09</t>
        </is>
      </c>
      <c r="B13" s="20" t="inlineStr">
        <is>
          <t>Authentication</t>
        </is>
      </c>
      <c r="C13" s="20" t="inlineStr">
        <is>
          <t>HMS-F-004</t>
        </is>
      </c>
      <c r="D13" s="20" t="inlineStr">
        <is>
          <t>Call an admin route and a doctor-only route with a patient token</t>
        </is>
      </c>
      <c r="E13" s="20" t="inlineStr">
        <is>
          <t>403</t>
        </is>
      </c>
      <c r="F13" s="21" t="inlineStr">
        <is>
          <t>Integration</t>
        </is>
      </c>
      <c r="G13" s="21" t="n">
        <v>1</v>
      </c>
      <c r="H13" s="21" t="inlineStr">
        <is>
          <t>High</t>
        </is>
      </c>
      <c r="I13" s="22" t="inlineStr">
        <is>
          <t>Pass</t>
        </is>
      </c>
      <c r="J13" s="23" t="n"/>
      <c r="K13" s="23" t="inlineStr">
        <is>
          <t>Rohan Agarwal</t>
        </is>
      </c>
      <c r="L13" s="23" t="inlineStr">
        <is>
          <t>26-Oct-2026</t>
        </is>
      </c>
    </row>
    <row r="14" ht="15" customHeight="1" s="16">
      <c r="A14" s="20" t="inlineStr">
        <is>
          <t>TC-Auth-10</t>
        </is>
      </c>
      <c r="B14" s="20" t="inlineStr">
        <is>
          <t>Authentication</t>
        </is>
      </c>
      <c r="C14" s="20" t="inlineStr">
        <is>
          <t>HMS-F-005</t>
        </is>
      </c>
      <c r="D14" s="20" t="inlineStr">
        <is>
          <t>Log out from the UI, then open a protected page</t>
        </is>
      </c>
      <c r="E14" s="20" t="inlineStr">
        <is>
          <t>Token removed; redirected to login</t>
        </is>
      </c>
      <c r="F14" s="21" t="inlineStr">
        <is>
          <t>System</t>
        </is>
      </c>
      <c r="G14" s="21" t="n">
        <v>1</v>
      </c>
      <c r="H14" s="21" t="inlineStr">
        <is>
          <t>Medium</t>
        </is>
      </c>
      <c r="I14" s="22" t="inlineStr">
        <is>
          <t>Not run</t>
        </is>
      </c>
      <c r="J14" s="23" t="n"/>
      <c r="K14" s="23" t="n"/>
      <c r="L14" s="23" t="n"/>
    </row>
    <row r="15" ht="15" customHeight="1" s="16">
      <c r="A15" s="20" t="inlineStr">
        <is>
          <t>TC-Auth-11</t>
        </is>
      </c>
      <c r="B15" s="20" t="inlineStr">
        <is>
          <t>Authentication</t>
        </is>
      </c>
      <c r="C15" s="20" t="inlineStr">
        <is>
          <t>HMS-F-056</t>
        </is>
      </c>
      <c r="D15" s="20" t="inlineStr">
        <is>
          <t>Check the server log after one successful and one failed login</t>
        </is>
      </c>
      <c r="E15" s="20" t="inlineStr">
        <is>
          <t>Both events logged; no password in the log</t>
        </is>
      </c>
      <c r="F15" s="21" t="inlineStr">
        <is>
          <t>Integration</t>
        </is>
      </c>
      <c r="G15" s="21" t="n">
        <v>1</v>
      </c>
      <c r="H15" s="21" t="inlineStr">
        <is>
          <t>Medium</t>
        </is>
      </c>
      <c r="I15" s="22" t="inlineStr">
        <is>
          <t>Pass</t>
        </is>
      </c>
      <c r="J15" s="23" t="n"/>
      <c r="K15" s="23" t="inlineStr">
        <is>
          <t>Rohan Agarwal</t>
        </is>
      </c>
      <c r="L15" s="23" t="inlineStr">
        <is>
          <t>26-Oct-2026</t>
        </is>
      </c>
    </row>
    <row r="16" ht="15" customHeight="1" s="16">
      <c r="A16" s="20" t="inlineStr">
        <is>
          <t>TC-Auth-12</t>
        </is>
      </c>
      <c r="B16" s="20" t="inlineStr">
        <is>
          <t>Authentication</t>
        </is>
      </c>
      <c r="C16" s="20" t="inlineStr">
        <is>
          <t>HMS-F-006</t>
        </is>
      </c>
      <c r="D16" s="20" t="inlineStr">
        <is>
          <t>A deactivated user tries to log in</t>
        </is>
      </c>
      <c r="E16" s="20" t="inlineStr">
        <is>
          <t>Login refused</t>
        </is>
      </c>
      <c r="F16" s="21" t="inlineStr">
        <is>
          <t>Integration</t>
        </is>
      </c>
      <c r="G16" s="21" t="n">
        <v>2</v>
      </c>
      <c r="H16" s="21" t="inlineStr">
        <is>
          <t>Medium</t>
        </is>
      </c>
      <c r="I16" s="22" t="inlineStr">
        <is>
          <t>Pass</t>
        </is>
      </c>
      <c r="J16" s="23" t="n"/>
      <c r="K16" s="23" t="inlineStr">
        <is>
          <t>Rohan Agarwal</t>
        </is>
      </c>
      <c r="L16" s="23" t="inlineStr">
        <is>
          <t>26-Oct-2026</t>
        </is>
      </c>
    </row>
    <row r="17" ht="15" customHeight="1" s="16">
      <c r="A17" s="20" t="inlineStr">
        <is>
          <t>TC-Pat-01</t>
        </is>
      </c>
      <c r="B17" s="20" t="inlineStr">
        <is>
          <t>Patient Management</t>
        </is>
      </c>
      <c r="C17" s="20" t="inlineStr">
        <is>
          <t>HMS-F-010</t>
        </is>
      </c>
      <c r="D17" s="20" t="inlineStr">
        <is>
          <t>Patient views own profile after registering</t>
        </is>
      </c>
      <c r="E17" s="20" t="inlineStr">
        <is>
          <t>200; own data only</t>
        </is>
      </c>
      <c r="F17" s="21" t="inlineStr">
        <is>
          <t>Integration</t>
        </is>
      </c>
      <c r="G17" s="21" t="n">
        <v>1</v>
      </c>
      <c r="H17" s="21" t="inlineStr">
        <is>
          <t>High</t>
        </is>
      </c>
      <c r="I17" s="22" t="inlineStr">
        <is>
          <t>Pass</t>
        </is>
      </c>
      <c r="J17" s="23" t="n"/>
      <c r="K17" s="23" t="inlineStr">
        <is>
          <t>Rohan Agarwal</t>
        </is>
      </c>
      <c r="L17" s="23" t="inlineStr">
        <is>
          <t>26-Oct-2026</t>
        </is>
      </c>
    </row>
    <row r="18" ht="15" customHeight="1" s="16">
      <c r="A18" s="20" t="inlineStr">
        <is>
          <t>TC-Pat-02</t>
        </is>
      </c>
      <c r="B18" s="20" t="inlineStr">
        <is>
          <t>Patient Management</t>
        </is>
      </c>
      <c r="C18" s="20" t="inlineStr">
        <is>
          <t>HMS-F-011</t>
        </is>
      </c>
      <c r="D18" s="20" t="inlineStr">
        <is>
          <t>Patient updates name, phone and address with valid data</t>
        </is>
      </c>
      <c r="E18" s="20" t="inlineStr">
        <is>
          <t>200; confirmation shown; data persisted</t>
        </is>
      </c>
      <c r="F18" s="21" t="inlineStr">
        <is>
          <t>Integration</t>
        </is>
      </c>
      <c r="G18" s="21" t="n">
        <v>2</v>
      </c>
      <c r="H18" s="21" t="inlineStr">
        <is>
          <t>High</t>
        </is>
      </c>
      <c r="I18" s="22" t="inlineStr">
        <is>
          <t>Pass</t>
        </is>
      </c>
      <c r="J18" s="23" t="n"/>
      <c r="K18" s="23" t="inlineStr">
        <is>
          <t>Rohan Agarwal</t>
        </is>
      </c>
      <c r="L18" s="23" t="inlineStr">
        <is>
          <t>26-Oct-2026</t>
        </is>
      </c>
    </row>
    <row r="19" ht="15" customHeight="1" s="16">
      <c r="A19" s="20" t="inlineStr">
        <is>
          <t>TC-Pat-03</t>
        </is>
      </c>
      <c r="B19" s="20" t="inlineStr">
        <is>
          <t>Patient Management</t>
        </is>
      </c>
      <c r="C19" s="20" t="inlineStr">
        <is>
          <t>HMS-F-011</t>
        </is>
      </c>
      <c r="D19" s="20" t="inlineStr">
        <is>
          <t>Send role or id in the update request</t>
        </is>
      </c>
      <c r="E19" s="20" t="inlineStr">
        <is>
          <t>Ignored or rejected; role and id unchanged</t>
        </is>
      </c>
      <c r="F19" s="21" t="inlineStr">
        <is>
          <t>Integration</t>
        </is>
      </c>
      <c r="G19" s="21" t="n">
        <v>2</v>
      </c>
      <c r="H19" s="21" t="inlineStr">
        <is>
          <t>High</t>
        </is>
      </c>
      <c r="I19" s="22" t="inlineStr">
        <is>
          <t>Pass</t>
        </is>
      </c>
      <c r="J19" s="23" t="n"/>
      <c r="K19" s="23" t="inlineStr">
        <is>
          <t>Rohan Agarwal</t>
        </is>
      </c>
      <c r="L19" s="23" t="inlineStr">
        <is>
          <t>26-Oct-2026</t>
        </is>
      </c>
    </row>
    <row r="20" ht="23.85" customHeight="1" s="16">
      <c r="A20" s="20" t="inlineStr">
        <is>
          <t>TC-Pat-04</t>
        </is>
      </c>
      <c r="B20" s="20" t="inlineStr">
        <is>
          <t>Patient Management</t>
        </is>
      </c>
      <c r="C20" s="20" t="inlineStr">
        <is>
          <t>HMS-F-012</t>
        </is>
      </c>
      <c r="D20" s="20" t="inlineStr">
        <is>
          <t>Update with an invalid phone number, then with a future date of birth</t>
        </is>
      </c>
      <c r="E20" s="20" t="inlineStr">
        <is>
          <t>400 with a clear message each time</t>
        </is>
      </c>
      <c r="F20" s="21" t="inlineStr">
        <is>
          <t>Unit</t>
        </is>
      </c>
      <c r="G20" s="21" t="n">
        <v>2</v>
      </c>
      <c r="H20" s="21" t="inlineStr">
        <is>
          <t>High</t>
        </is>
      </c>
      <c r="I20" s="22" t="inlineStr">
        <is>
          <t>Fail</t>
        </is>
      </c>
      <c r="J20" s="23" t="inlineStr">
        <is>
          <t>#17</t>
        </is>
      </c>
      <c r="K20" s="23" t="inlineStr">
        <is>
          <t>Rohan Agarwal</t>
        </is>
      </c>
      <c r="L20" s="23" t="inlineStr">
        <is>
          <t>26-Oct-2026</t>
        </is>
      </c>
    </row>
    <row r="21" ht="15" customHeight="1" s="16">
      <c r="A21" s="20" t="inlineStr">
        <is>
          <t>TC-Pat-05</t>
        </is>
      </c>
      <c r="B21" s="20" t="inlineStr">
        <is>
          <t>Patient Management</t>
        </is>
      </c>
      <c r="C21" s="20" t="inlineStr">
        <is>
          <t>HMS-F-013</t>
        </is>
      </c>
      <c r="D21" s="20" t="inlineStr">
        <is>
          <t>patient1 requests patient2's data</t>
        </is>
      </c>
      <c r="E21" s="20" t="inlineStr">
        <is>
          <t>403</t>
        </is>
      </c>
      <c r="F21" s="21" t="inlineStr">
        <is>
          <t>Integration</t>
        </is>
      </c>
      <c r="G21" s="21" t="n">
        <v>2</v>
      </c>
      <c r="H21" s="21" t="inlineStr">
        <is>
          <t>High</t>
        </is>
      </c>
      <c r="I21" s="22" t="inlineStr">
        <is>
          <t>Pass</t>
        </is>
      </c>
      <c r="J21" s="23" t="n"/>
      <c r="K21" s="23" t="inlineStr">
        <is>
          <t>Rohan Agarwal</t>
        </is>
      </c>
      <c r="L21" s="23" t="inlineStr">
        <is>
          <t>26-Oct-2026</t>
        </is>
      </c>
    </row>
    <row r="22" ht="23.85" customHeight="1" s="16">
      <c r="A22" s="20" t="inlineStr">
        <is>
          <t>TC-Pat-06</t>
        </is>
      </c>
      <c r="B22" s="20" t="inlineStr">
        <is>
          <t>Patient Management</t>
        </is>
      </c>
      <c r="C22" s="20" t="inlineStr">
        <is>
          <t>HMS-F-014</t>
        </is>
      </c>
      <c r="D22" s="20" t="inlineStr">
        <is>
          <t>doctor1 requests a patient with an appointment, then a patient without one</t>
        </is>
      </c>
      <c r="E22" s="20" t="inlineStr">
        <is>
          <t>200 for the first; 403 for the second</t>
        </is>
      </c>
      <c r="F22" s="21" t="inlineStr">
        <is>
          <t>Integration</t>
        </is>
      </c>
      <c r="G22" s="21" t="n">
        <v>2</v>
      </c>
      <c r="H22" s="21" t="inlineStr">
        <is>
          <t>Medium</t>
        </is>
      </c>
      <c r="I22" s="22" t="inlineStr">
        <is>
          <t>Fail</t>
        </is>
      </c>
      <c r="J22" s="23" t="inlineStr">
        <is>
          <t>#18</t>
        </is>
      </c>
      <c r="K22" s="23" t="inlineStr">
        <is>
          <t>Rohan Agarwal</t>
        </is>
      </c>
      <c r="L22" s="23" t="inlineStr">
        <is>
          <t>26-Oct-2026</t>
        </is>
      </c>
    </row>
    <row r="23" ht="15" customHeight="1" s="16">
      <c r="A23" s="20" t="inlineStr">
        <is>
          <t>TC-Pat-07</t>
        </is>
      </c>
      <c r="B23" s="20" t="inlineStr">
        <is>
          <t>Patient Management</t>
        </is>
      </c>
      <c r="C23" s="20" t="inlineStr">
        <is>
          <t>HMS-F-014</t>
        </is>
      </c>
      <c r="D23" s="20" t="inlineStr">
        <is>
          <t>Administrator requests any patient profile</t>
        </is>
      </c>
      <c r="E23" s="20" t="inlineStr">
        <is>
          <t>200</t>
        </is>
      </c>
      <c r="F23" s="21" t="inlineStr">
        <is>
          <t>Integration</t>
        </is>
      </c>
      <c r="G23" s="21" t="n">
        <v>2</v>
      </c>
      <c r="H23" s="21" t="inlineStr">
        <is>
          <t>Medium</t>
        </is>
      </c>
      <c r="I23" s="22" t="inlineStr">
        <is>
          <t>Fail</t>
        </is>
      </c>
      <c r="J23" s="23" t="inlineStr">
        <is>
          <t>#18</t>
        </is>
      </c>
      <c r="K23" s="23" t="inlineStr">
        <is>
          <t>Rohan Agarwal</t>
        </is>
      </c>
      <c r="L23" s="23" t="inlineStr">
        <is>
          <t>26-Oct-2026</t>
        </is>
      </c>
    </row>
    <row r="24" ht="15" customHeight="1" s="16">
      <c r="A24" s="20" t="inlineStr">
        <is>
          <t>TC-Doc-01</t>
        </is>
      </c>
      <c r="B24" s="20" t="inlineStr">
        <is>
          <t>Doctor Management</t>
        </is>
      </c>
      <c r="C24" s="20" t="inlineStr">
        <is>
          <t>HMS-F-020, HMS-F-052</t>
        </is>
      </c>
      <c r="D24" s="20" t="inlineStr">
        <is>
          <t>Administrator creates a doctor account, then the doctor logs in</t>
        </is>
      </c>
      <c r="E24" s="20" t="inlineStr">
        <is>
          <t>201; doctor can log in</t>
        </is>
      </c>
      <c r="F24" s="21" t="inlineStr">
        <is>
          <t>Integration</t>
        </is>
      </c>
      <c r="G24" s="21" t="n">
        <v>2</v>
      </c>
      <c r="H24" s="21" t="inlineStr">
        <is>
          <t>High</t>
        </is>
      </c>
      <c r="I24" s="22" t="inlineStr">
        <is>
          <t>Not run</t>
        </is>
      </c>
      <c r="J24" s="23" t="n"/>
      <c r="K24" s="23" t="n"/>
      <c r="L24" s="23" t="n"/>
    </row>
    <row r="25" ht="15" customHeight="1" s="16">
      <c r="A25" s="20" t="inlineStr">
        <is>
          <t>TC-Doc-02</t>
        </is>
      </c>
      <c r="B25" s="20" t="inlineStr">
        <is>
          <t>Doctor Management</t>
        </is>
      </c>
      <c r="C25" s="20" t="inlineStr">
        <is>
          <t>HMS-F-021</t>
        </is>
      </c>
      <c r="D25" s="20" t="inlineStr">
        <is>
          <t>Doctor adds a future availability slot</t>
        </is>
      </c>
      <c r="E25" s="20" t="inlineStr">
        <is>
          <t>Slot saved and listed as free</t>
        </is>
      </c>
      <c r="F25" s="21" t="inlineStr">
        <is>
          <t>Integration</t>
        </is>
      </c>
      <c r="G25" s="21" t="n">
        <v>1</v>
      </c>
      <c r="H25" s="21" t="inlineStr">
        <is>
          <t>High</t>
        </is>
      </c>
      <c r="I25" s="22" t="inlineStr">
        <is>
          <t>Pass</t>
        </is>
      </c>
      <c r="J25" s="23" t="n"/>
      <c r="K25" s="23" t="inlineStr">
        <is>
          <t>Rohan Agarwal</t>
        </is>
      </c>
      <c r="L25" s="23" t="inlineStr">
        <is>
          <t>26-Oct-2026</t>
        </is>
      </c>
    </row>
    <row r="26" ht="15" customHeight="1" s="16">
      <c r="A26" s="20" t="inlineStr">
        <is>
          <t>TC-Doc-03</t>
        </is>
      </c>
      <c r="B26" s="20" t="inlineStr">
        <is>
          <t>Doctor Management</t>
        </is>
      </c>
      <c r="C26" s="20" t="inlineStr">
        <is>
          <t>HMS-F-022</t>
        </is>
      </c>
      <c r="D26" s="20" t="inlineStr">
        <is>
          <t>Doctor adds a slot overlapping an existing one</t>
        </is>
      </c>
      <c r="E26" s="20" t="inlineStr">
        <is>
          <t>409; no slot added</t>
        </is>
      </c>
      <c r="F26" s="21" t="inlineStr">
        <is>
          <t>Integration</t>
        </is>
      </c>
      <c r="G26" s="21" t="n">
        <v>2</v>
      </c>
      <c r="H26" s="21" t="inlineStr">
        <is>
          <t>Medium</t>
        </is>
      </c>
      <c r="I26" s="22" t="inlineStr">
        <is>
          <t>Pass</t>
        </is>
      </c>
      <c r="J26" s="23" t="n"/>
      <c r="K26" s="23" t="inlineStr">
        <is>
          <t>Rohan Agarwal</t>
        </is>
      </c>
      <c r="L26" s="23" t="inlineStr">
        <is>
          <t>26-Oct-2026</t>
        </is>
      </c>
    </row>
    <row r="27" ht="15" customHeight="1" s="16">
      <c r="A27" s="20" t="inlineStr">
        <is>
          <t>TC-Doc-04</t>
        </is>
      </c>
      <c r="B27" s="20" t="inlineStr">
        <is>
          <t>Doctor Management</t>
        </is>
      </c>
      <c r="C27" s="20" t="inlineStr">
        <is>
          <t>HMS-F-023</t>
        </is>
      </c>
      <c r="D27" s="20" t="inlineStr">
        <is>
          <t>Patient searches doctors by specialization and by name</t>
        </is>
      </c>
      <c r="E27" s="20" t="inlineStr">
        <is>
          <t>Only matching doctors returned</t>
        </is>
      </c>
      <c r="F27" s="21" t="inlineStr">
        <is>
          <t>Integration</t>
        </is>
      </c>
      <c r="G27" s="21" t="n">
        <v>1</v>
      </c>
      <c r="H27" s="21" t="inlineStr">
        <is>
          <t>High</t>
        </is>
      </c>
      <c r="I27" s="22" t="inlineStr">
        <is>
          <t>Pass</t>
        </is>
      </c>
      <c r="J27" s="23" t="n"/>
      <c r="K27" s="23" t="inlineStr">
        <is>
          <t>Rohan Agarwal</t>
        </is>
      </c>
      <c r="L27" s="23" t="inlineStr">
        <is>
          <t>26-Oct-2026</t>
        </is>
      </c>
    </row>
    <row r="28" ht="15" customHeight="1" s="16">
      <c r="A28" s="20" t="inlineStr">
        <is>
          <t>TC-Doc-05</t>
        </is>
      </c>
      <c r="B28" s="20" t="inlineStr">
        <is>
          <t>Doctor Management</t>
        </is>
      </c>
      <c r="C28" s="20" t="inlineStr">
        <is>
          <t>HMS-F-024</t>
        </is>
      </c>
      <c r="D28" s="20" t="inlineStr">
        <is>
          <t>Patient views availability of a doctor that has a booked slot</t>
        </is>
      </c>
      <c r="E28" s="20" t="inlineStr">
        <is>
          <t>Booked slot not shown as free</t>
        </is>
      </c>
      <c r="F28" s="21" t="inlineStr">
        <is>
          <t>Integration</t>
        </is>
      </c>
      <c r="G28" s="21" t="n">
        <v>1</v>
      </c>
      <c r="H28" s="21" t="inlineStr">
        <is>
          <t>High</t>
        </is>
      </c>
      <c r="I28" s="22" t="inlineStr">
        <is>
          <t>Pass</t>
        </is>
      </c>
      <c r="J28" s="23" t="n"/>
      <c r="K28" s="23" t="inlineStr">
        <is>
          <t>Rohan Agarwal</t>
        </is>
      </c>
      <c r="L28" s="23" t="inlineStr">
        <is>
          <t>26-Oct-2026</t>
        </is>
      </c>
    </row>
    <row r="29" ht="15" customHeight="1" s="16">
      <c r="A29" s="20" t="inlineStr">
        <is>
          <t>TC-Doc-06</t>
        </is>
      </c>
      <c r="B29" s="20" t="inlineStr">
        <is>
          <t>Doctor Management</t>
        </is>
      </c>
      <c r="C29" s="20" t="inlineStr">
        <is>
          <t>HMS-F-021</t>
        </is>
      </c>
      <c r="D29" s="20" t="inlineStr">
        <is>
          <t>Patient tries to add an availability slot</t>
        </is>
      </c>
      <c r="E29" s="20" t="inlineStr">
        <is>
          <t>403</t>
        </is>
      </c>
      <c r="F29" s="21" t="inlineStr">
        <is>
          <t>Integration</t>
        </is>
      </c>
      <c r="G29" s="21" t="n">
        <v>1</v>
      </c>
      <c r="H29" s="21" t="inlineStr">
        <is>
          <t>Medium</t>
        </is>
      </c>
      <c r="I29" s="22" t="inlineStr">
        <is>
          <t>Pass</t>
        </is>
      </c>
      <c r="J29" s="23" t="n"/>
      <c r="K29" s="23" t="inlineStr">
        <is>
          <t>Rohan Agarwal</t>
        </is>
      </c>
      <c r="L29" s="23" t="inlineStr">
        <is>
          <t>26-Oct-2026</t>
        </is>
      </c>
    </row>
    <row r="30" ht="15" customHeight="1" s="16">
      <c r="A30" s="20" t="inlineStr">
        <is>
          <t>TC-Apt-01</t>
        </is>
      </c>
      <c r="B30" s="20" t="inlineStr">
        <is>
          <t>Appointment Management</t>
        </is>
      </c>
      <c r="C30" s="20" t="inlineStr">
        <is>
          <t>HMS-F-030</t>
        </is>
      </c>
      <c r="D30" s="20" t="inlineStr">
        <is>
          <t>Patient books a free slot</t>
        </is>
      </c>
      <c r="E30" s="20" t="inlineStr">
        <is>
          <t>201; status Confirmed</t>
        </is>
      </c>
      <c r="F30" s="21" t="inlineStr">
        <is>
          <t>Integration</t>
        </is>
      </c>
      <c r="G30" s="21" t="n">
        <v>1</v>
      </c>
      <c r="H30" s="21" t="inlineStr">
        <is>
          <t>High</t>
        </is>
      </c>
      <c r="I30" s="22" t="inlineStr">
        <is>
          <t>Pass</t>
        </is>
      </c>
      <c r="J30" s="23" t="n"/>
      <c r="K30" s="23" t="inlineStr">
        <is>
          <t>Rohan Agarwal</t>
        </is>
      </c>
      <c r="L30" s="23" t="inlineStr">
        <is>
          <t>26-Oct-2026</t>
        </is>
      </c>
    </row>
    <row r="31" ht="15" customHeight="1" s="16">
      <c r="A31" s="20" t="inlineStr">
        <is>
          <t>TC-Apt-02</t>
        </is>
      </c>
      <c r="B31" s="20" t="inlineStr">
        <is>
          <t>Appointment Management</t>
        </is>
      </c>
      <c r="C31" s="20" t="inlineStr">
        <is>
          <t>HMS-F-031</t>
        </is>
      </c>
      <c r="D31" s="20" t="inlineStr">
        <is>
          <t>Book a slot that already has an active appointment</t>
        </is>
      </c>
      <c r="E31" s="20" t="inlineStr">
        <is>
          <t>409; no second appointment</t>
        </is>
      </c>
      <c r="F31" s="21" t="inlineStr">
        <is>
          <t>Integration</t>
        </is>
      </c>
      <c r="G31" s="21" t="n">
        <v>2</v>
      </c>
      <c r="H31" s="21" t="inlineStr">
        <is>
          <t>High</t>
        </is>
      </c>
      <c r="I31" s="22" t="inlineStr">
        <is>
          <t>Pass</t>
        </is>
      </c>
      <c r="J31" s="23" t="n"/>
      <c r="K31" s="23" t="inlineStr">
        <is>
          <t>Rohan Agarwal</t>
        </is>
      </c>
      <c r="L31" s="23" t="inlineStr">
        <is>
          <t>26-Oct-2026</t>
        </is>
      </c>
    </row>
    <row r="32" ht="15" customHeight="1" s="16">
      <c r="A32" s="20" t="inlineStr">
        <is>
          <t>TC-Apt-03</t>
        </is>
      </c>
      <c r="B32" s="20" t="inlineStr">
        <is>
          <t>Appointment Management</t>
        </is>
      </c>
      <c r="C32" s="20" t="inlineStr">
        <is>
          <t>HMS-F-031</t>
        </is>
      </c>
      <c r="D32" s="20" t="inlineStr">
        <is>
          <t>Two patients send a booking for the same slot at the same time</t>
        </is>
      </c>
      <c r="E32" s="20" t="inlineStr">
        <is>
          <t>Exactly one 201 and one 409</t>
        </is>
      </c>
      <c r="F32" s="21" t="inlineStr">
        <is>
          <t>Integration</t>
        </is>
      </c>
      <c r="G32" s="21" t="n">
        <v>2</v>
      </c>
      <c r="H32" s="21" t="inlineStr">
        <is>
          <t>High</t>
        </is>
      </c>
      <c r="I32" s="22" t="inlineStr">
        <is>
          <t>Not run</t>
        </is>
      </c>
      <c r="J32" s="23" t="n"/>
      <c r="K32" s="23" t="n"/>
      <c r="L32" s="23" t="n"/>
    </row>
    <row r="33" ht="15" customHeight="1" s="16">
      <c r="A33" s="20" t="inlineStr">
        <is>
          <t>TC-Apt-04</t>
        </is>
      </c>
      <c r="B33" s="20" t="inlineStr">
        <is>
          <t>Appointment Management</t>
        </is>
      </c>
      <c r="C33" s="20" t="inlineStr">
        <is>
          <t>HMS-F-032</t>
        </is>
      </c>
      <c r="D33" s="20" t="inlineStr">
        <is>
          <t>Book a slot in the past</t>
        </is>
      </c>
      <c r="E33" s="20" t="inlineStr">
        <is>
          <t>400</t>
        </is>
      </c>
      <c r="F33" s="21" t="inlineStr">
        <is>
          <t>Unit</t>
        </is>
      </c>
      <c r="G33" s="21" t="n">
        <v>1</v>
      </c>
      <c r="H33" s="21" t="inlineStr">
        <is>
          <t>High</t>
        </is>
      </c>
      <c r="I33" s="22" t="inlineStr">
        <is>
          <t>Fail</t>
        </is>
      </c>
      <c r="J33" s="23" t="inlineStr">
        <is>
          <t>#19</t>
        </is>
      </c>
      <c r="K33" s="23" t="inlineStr">
        <is>
          <t>Rohan Agarwal</t>
        </is>
      </c>
      <c r="L33" s="23" t="inlineStr">
        <is>
          <t>26-Oct-2026</t>
        </is>
      </c>
    </row>
    <row r="34" ht="15" customHeight="1" s="16">
      <c r="A34" s="20" t="inlineStr">
        <is>
          <t>TC-Apt-05</t>
        </is>
      </c>
      <c r="B34" s="20" t="inlineStr">
        <is>
          <t>Appointment Management</t>
        </is>
      </c>
      <c r="C34" s="20" t="inlineStr">
        <is>
          <t>HMS-F-032</t>
        </is>
      </c>
      <c r="D34" s="20" t="inlineStr">
        <is>
          <t>Book with a non-existent doctor id</t>
        </is>
      </c>
      <c r="E34" s="20" t="inlineStr">
        <is>
          <t>404</t>
        </is>
      </c>
      <c r="F34" s="21" t="inlineStr">
        <is>
          <t>Integration</t>
        </is>
      </c>
      <c r="G34" s="21" t="n">
        <v>1</v>
      </c>
      <c r="H34" s="21" t="inlineStr">
        <is>
          <t>Medium</t>
        </is>
      </c>
      <c r="I34" s="22" t="inlineStr">
        <is>
          <t>Pass</t>
        </is>
      </c>
      <c r="J34" s="23" t="n"/>
      <c r="K34" s="23" t="inlineStr">
        <is>
          <t>Rohan Agarwal</t>
        </is>
      </c>
      <c r="L34" s="23" t="inlineStr">
        <is>
          <t>26-Oct-2026</t>
        </is>
      </c>
    </row>
    <row r="35" ht="15" customHeight="1" s="16">
      <c r="A35" s="20" t="inlineStr">
        <is>
          <t>TC-Apt-06</t>
        </is>
      </c>
      <c r="B35" s="20" t="inlineStr">
        <is>
          <t>Appointment Management</t>
        </is>
      </c>
      <c r="C35" s="20" t="inlineStr">
        <is>
          <t>HMS-F-033</t>
        </is>
      </c>
      <c r="D35" s="20" t="inlineStr">
        <is>
          <t>Patient lists appointments</t>
        </is>
      </c>
      <c r="E35" s="20" t="inlineStr">
        <is>
          <t>Own appointments only</t>
        </is>
      </c>
      <c r="F35" s="21" t="inlineStr">
        <is>
          <t>Integration</t>
        </is>
      </c>
      <c r="G35" s="21" t="n">
        <v>1</v>
      </c>
      <c r="H35" s="21" t="inlineStr">
        <is>
          <t>High</t>
        </is>
      </c>
      <c r="I35" s="22" t="inlineStr">
        <is>
          <t>Pass</t>
        </is>
      </c>
      <c r="J35" s="23" t="n"/>
      <c r="K35" s="23" t="inlineStr">
        <is>
          <t>Rohan Agarwal</t>
        </is>
      </c>
      <c r="L35" s="23" t="inlineStr">
        <is>
          <t>26-Oct-2026</t>
        </is>
      </c>
    </row>
    <row r="36" ht="15" customHeight="1" s="16">
      <c r="A36" s="20" t="inlineStr">
        <is>
          <t>TC-Apt-07</t>
        </is>
      </c>
      <c r="B36" s="20" t="inlineStr">
        <is>
          <t>Appointment Management</t>
        </is>
      </c>
      <c r="C36" s="20" t="inlineStr">
        <is>
          <t>HMS-F-033</t>
        </is>
      </c>
      <c r="D36" s="20" t="inlineStr">
        <is>
          <t>Doctor lists appointments</t>
        </is>
      </c>
      <c r="E36" s="20" t="inlineStr">
        <is>
          <t>Own appointments only</t>
        </is>
      </c>
      <c r="F36" s="21" t="inlineStr">
        <is>
          <t>Integration</t>
        </is>
      </c>
      <c r="G36" s="21" t="n">
        <v>1</v>
      </c>
      <c r="H36" s="21" t="inlineStr">
        <is>
          <t>High</t>
        </is>
      </c>
      <c r="I36" s="22" t="inlineStr">
        <is>
          <t>Pass</t>
        </is>
      </c>
      <c r="J36" s="23" t="n"/>
      <c r="K36" s="23" t="inlineStr">
        <is>
          <t>Rohan Agarwal</t>
        </is>
      </c>
      <c r="L36" s="23" t="inlineStr">
        <is>
          <t>26-Oct-2026</t>
        </is>
      </c>
    </row>
    <row r="37" ht="15" customHeight="1" s="16">
      <c r="A37" s="20" t="inlineStr">
        <is>
          <t>TC-Apt-08</t>
        </is>
      </c>
      <c r="B37" s="20" t="inlineStr">
        <is>
          <t>Appointment Management</t>
        </is>
      </c>
      <c r="C37" s="20" t="inlineStr">
        <is>
          <t>HMS-F-034</t>
        </is>
      </c>
      <c r="D37" s="20" t="inlineStr">
        <is>
          <t>Reschedule to a free slot</t>
        </is>
      </c>
      <c r="E37" s="20" t="inlineStr">
        <is>
          <t>200; new time saved; old slot free again</t>
        </is>
      </c>
      <c r="F37" s="21" t="inlineStr">
        <is>
          <t>Integration</t>
        </is>
      </c>
      <c r="G37" s="21" t="n">
        <v>2</v>
      </c>
      <c r="H37" s="21" t="inlineStr">
        <is>
          <t>High</t>
        </is>
      </c>
      <c r="I37" s="22" t="inlineStr">
        <is>
          <t>Pass</t>
        </is>
      </c>
      <c r="J37" s="23" t="n"/>
      <c r="K37" s="23" t="inlineStr">
        <is>
          <t>Rohan Agarwal</t>
        </is>
      </c>
      <c r="L37" s="23" t="inlineStr">
        <is>
          <t>26-Oct-2026</t>
        </is>
      </c>
    </row>
    <row r="38" ht="15" customHeight="1" s="16">
      <c r="A38" s="20" t="inlineStr">
        <is>
          <t>TC-Apt-09</t>
        </is>
      </c>
      <c r="B38" s="20" t="inlineStr">
        <is>
          <t>Appointment Management</t>
        </is>
      </c>
      <c r="C38" s="20" t="inlineStr">
        <is>
          <t>HMS-F-034</t>
        </is>
      </c>
      <c r="D38" s="20" t="inlineStr">
        <is>
          <t>Reschedule to a slot that is taken</t>
        </is>
      </c>
      <c r="E38" s="20" t="inlineStr">
        <is>
          <t>409; original appointment unchanged</t>
        </is>
      </c>
      <c r="F38" s="21" t="inlineStr">
        <is>
          <t>Integration</t>
        </is>
      </c>
      <c r="G38" s="21" t="n">
        <v>2</v>
      </c>
      <c r="H38" s="21" t="inlineStr">
        <is>
          <t>High</t>
        </is>
      </c>
      <c r="I38" s="22" t="inlineStr">
        <is>
          <t>Pass</t>
        </is>
      </c>
      <c r="J38" s="23" t="n"/>
      <c r="K38" s="23" t="inlineStr">
        <is>
          <t>Rohan Agarwal</t>
        </is>
      </c>
      <c r="L38" s="23" t="inlineStr">
        <is>
          <t>26-Oct-2026</t>
        </is>
      </c>
    </row>
    <row r="39" ht="15" customHeight="1" s="16">
      <c r="A39" s="20" t="inlineStr">
        <is>
          <t>TC-Apt-10</t>
        </is>
      </c>
      <c r="B39" s="20" t="inlineStr">
        <is>
          <t>Appointment Management</t>
        </is>
      </c>
      <c r="C39" s="20" t="inlineStr">
        <is>
          <t>HMS-F-035</t>
        </is>
      </c>
      <c r="D39" s="20" t="inlineStr">
        <is>
          <t>Cancel an appointment</t>
        </is>
      </c>
      <c r="E39" s="20" t="inlineStr">
        <is>
          <t>Status Cancelled; slot can be booked again</t>
        </is>
      </c>
      <c r="F39" s="21" t="inlineStr">
        <is>
          <t>Integration</t>
        </is>
      </c>
      <c r="G39" s="21" t="n">
        <v>2</v>
      </c>
      <c r="H39" s="21" t="inlineStr">
        <is>
          <t>High</t>
        </is>
      </c>
      <c r="I39" s="22" t="inlineStr">
        <is>
          <t>Pass</t>
        </is>
      </c>
      <c r="J39" s="23" t="n"/>
      <c r="K39" s="23" t="inlineStr">
        <is>
          <t>Rohan Agarwal</t>
        </is>
      </c>
      <c r="L39" s="23" t="inlineStr">
        <is>
          <t>26-Oct-2026</t>
        </is>
      </c>
    </row>
    <row r="40" ht="15" customHeight="1" s="16">
      <c r="A40" s="20" t="inlineStr">
        <is>
          <t>TC-Apt-11</t>
        </is>
      </c>
      <c r="B40" s="20" t="inlineStr">
        <is>
          <t>Appointment Management</t>
        </is>
      </c>
      <c r="C40" s="20" t="inlineStr">
        <is>
          <t>HMS-F-036</t>
        </is>
      </c>
      <c r="D40" s="20" t="inlineStr">
        <is>
          <t>patient2 tries to cancel or reschedule patient1's appointment</t>
        </is>
      </c>
      <c r="E40" s="20" t="inlineStr">
        <is>
          <t>403</t>
        </is>
      </c>
      <c r="F40" s="21" t="inlineStr">
        <is>
          <t>Integration</t>
        </is>
      </c>
      <c r="G40" s="21" t="n">
        <v>2</v>
      </c>
      <c r="H40" s="21" t="inlineStr">
        <is>
          <t>High</t>
        </is>
      </c>
      <c r="I40" s="22" t="inlineStr">
        <is>
          <t>Pass</t>
        </is>
      </c>
      <c r="J40" s="23" t="n"/>
      <c r="K40" s="23" t="inlineStr">
        <is>
          <t>Rohan Agarwal</t>
        </is>
      </c>
      <c r="L40" s="23" t="inlineStr">
        <is>
          <t>26-Oct-2026</t>
        </is>
      </c>
    </row>
    <row r="41" ht="15" customHeight="1" s="16">
      <c r="A41" s="20" t="inlineStr">
        <is>
          <t>TC-Rec-01</t>
        </is>
      </c>
      <c r="B41" s="20" t="inlineStr">
        <is>
          <t>Medical Record</t>
        </is>
      </c>
      <c r="C41" s="20" t="inlineStr">
        <is>
          <t>HMS-F-040</t>
        </is>
      </c>
      <c r="D41" s="20" t="inlineStr">
        <is>
          <t>Doctor creates a record for a patient with an appointment</t>
        </is>
      </c>
      <c r="E41" s="20" t="inlineStr">
        <is>
          <t>201; record stored</t>
        </is>
      </c>
      <c r="F41" s="21" t="inlineStr">
        <is>
          <t>Integration</t>
        </is>
      </c>
      <c r="G41" s="21" t="n">
        <v>2</v>
      </c>
      <c r="H41" s="21" t="inlineStr">
        <is>
          <t>High</t>
        </is>
      </c>
      <c r="I41" s="22" t="inlineStr">
        <is>
          <t>Pass</t>
        </is>
      </c>
      <c r="J41" s="23" t="n"/>
      <c r="K41" s="23" t="inlineStr">
        <is>
          <t>Rohan Agarwal</t>
        </is>
      </c>
      <c r="L41" s="23" t="inlineStr">
        <is>
          <t>26-Oct-2026</t>
        </is>
      </c>
    </row>
    <row r="42" ht="15" customHeight="1" s="16">
      <c r="A42" s="20" t="inlineStr">
        <is>
          <t>TC-Rec-02</t>
        </is>
      </c>
      <c r="B42" s="20" t="inlineStr">
        <is>
          <t>Medical Record</t>
        </is>
      </c>
      <c r="C42" s="20" t="inlineStr">
        <is>
          <t>HMS-F-041</t>
        </is>
      </c>
      <c r="D42" s="20" t="inlineStr">
        <is>
          <t>Doctor retrieves the patient's records</t>
        </is>
      </c>
      <c r="E42" s="20" t="inlineStr">
        <is>
          <t>200; list of records</t>
        </is>
      </c>
      <c r="F42" s="21" t="inlineStr">
        <is>
          <t>Integration</t>
        </is>
      </c>
      <c r="G42" s="21" t="n">
        <v>2</v>
      </c>
      <c r="H42" s="21" t="inlineStr">
        <is>
          <t>High</t>
        </is>
      </c>
      <c r="I42" s="22" t="inlineStr">
        <is>
          <t>Pass</t>
        </is>
      </c>
      <c r="J42" s="23" t="n"/>
      <c r="K42" s="23" t="inlineStr">
        <is>
          <t>Rohan Agarwal</t>
        </is>
      </c>
      <c r="L42" s="23" t="inlineStr">
        <is>
          <t>26-Oct-2026</t>
        </is>
      </c>
    </row>
    <row r="43" ht="15" customHeight="1" s="16">
      <c r="A43" s="20" t="inlineStr">
        <is>
          <t>TC-Rec-03</t>
        </is>
      </c>
      <c r="B43" s="20" t="inlineStr">
        <is>
          <t>Medical Record</t>
        </is>
      </c>
      <c r="C43" s="20" t="inlineStr">
        <is>
          <t>HMS-F-041</t>
        </is>
      </c>
      <c r="D43" s="20" t="inlineStr">
        <is>
          <t>Doctor updates diagnosis and notes</t>
        </is>
      </c>
      <c r="E43" s="20" t="inlineStr">
        <is>
          <t>200; update time changes</t>
        </is>
      </c>
      <c r="F43" s="21" t="inlineStr">
        <is>
          <t>Integration</t>
        </is>
      </c>
      <c r="G43" s="21" t="n">
        <v>2</v>
      </c>
      <c r="H43" s="21" t="inlineStr">
        <is>
          <t>High</t>
        </is>
      </c>
      <c r="I43" s="22" t="inlineStr">
        <is>
          <t>Pass</t>
        </is>
      </c>
      <c r="J43" s="23" t="n"/>
      <c r="K43" s="23" t="inlineStr">
        <is>
          <t>Rohan Agarwal</t>
        </is>
      </c>
      <c r="L43" s="23" t="inlineStr">
        <is>
          <t>26-Oct-2026</t>
        </is>
      </c>
    </row>
    <row r="44" ht="23.85" customHeight="1" s="16">
      <c r="A44" s="20" t="inlineStr">
        <is>
          <t>TC-Rec-04</t>
        </is>
      </c>
      <c r="B44" s="20" t="inlineStr">
        <is>
          <t>Medical Record</t>
        </is>
      </c>
      <c r="C44" s="20" t="inlineStr">
        <is>
          <t>HMS-F-043</t>
        </is>
      </c>
      <c r="D44" s="20" t="inlineStr">
        <is>
          <t>Doctor with no appointment with the patient requests the records</t>
        </is>
      </c>
      <c r="E44" s="20" t="inlineStr">
        <is>
          <t>403</t>
        </is>
      </c>
      <c r="F44" s="21" t="inlineStr">
        <is>
          <t>Integration</t>
        </is>
      </c>
      <c r="G44" s="21" t="n">
        <v>2</v>
      </c>
      <c r="H44" s="21" t="inlineStr">
        <is>
          <t>High</t>
        </is>
      </c>
      <c r="I44" s="22" t="inlineStr">
        <is>
          <t>Fail</t>
        </is>
      </c>
      <c r="J44" s="23" t="inlineStr">
        <is>
          <t>#20</t>
        </is>
      </c>
      <c r="K44" s="23" t="inlineStr">
        <is>
          <t>Rohan Agarwal</t>
        </is>
      </c>
      <c r="L44" s="23" t="inlineStr">
        <is>
          <t>26-Oct-2026</t>
        </is>
      </c>
    </row>
    <row r="45" ht="15" customHeight="1" s="16">
      <c r="A45" s="20" t="inlineStr">
        <is>
          <t>TC-Rec-05</t>
        </is>
      </c>
      <c r="B45" s="20" t="inlineStr">
        <is>
          <t>Medical Record</t>
        </is>
      </c>
      <c r="C45" s="20" t="inlineStr">
        <is>
          <t>HMS-F-042, HMS-F-043</t>
        </is>
      </c>
      <c r="D45" s="20" t="inlineStr">
        <is>
          <t>Patient views own records, then another patient's records</t>
        </is>
      </c>
      <c r="E45" s="20" t="inlineStr">
        <is>
          <t>200 for own; 403 for the other</t>
        </is>
      </c>
      <c r="F45" s="21" t="inlineStr">
        <is>
          <t>Integration</t>
        </is>
      </c>
      <c r="G45" s="21" t="n">
        <v>2</v>
      </c>
      <c r="H45" s="21" t="inlineStr">
        <is>
          <t>High</t>
        </is>
      </c>
      <c r="I45" s="22" t="inlineStr">
        <is>
          <t>Pass</t>
        </is>
      </c>
      <c r="J45" s="23" t="n"/>
      <c r="K45" s="23" t="inlineStr">
        <is>
          <t>Rohan Agarwal</t>
        </is>
      </c>
      <c r="L45" s="23" t="inlineStr">
        <is>
          <t>26-Oct-2026</t>
        </is>
      </c>
    </row>
    <row r="46" ht="15" customHeight="1" s="16">
      <c r="A46" s="20" t="inlineStr">
        <is>
          <t>TC-Rec-06</t>
        </is>
      </c>
      <c r="B46" s="20" t="inlineStr">
        <is>
          <t>Medical Record</t>
        </is>
      </c>
      <c r="C46" s="20" t="inlineStr">
        <is>
          <t>HMS-F-042</t>
        </is>
      </c>
      <c r="D46" s="20" t="inlineStr">
        <is>
          <t>Patient sends a create or update record request</t>
        </is>
      </c>
      <c r="E46" s="20" t="inlineStr">
        <is>
          <t>403</t>
        </is>
      </c>
      <c r="F46" s="21" t="inlineStr">
        <is>
          <t>Integration</t>
        </is>
      </c>
      <c r="G46" s="21" t="n">
        <v>2</v>
      </c>
      <c r="H46" s="21" t="inlineStr">
        <is>
          <t>High</t>
        </is>
      </c>
      <c r="I46" s="22" t="inlineStr">
        <is>
          <t>Pass</t>
        </is>
      </c>
      <c r="J46" s="23" t="n"/>
      <c r="K46" s="23" t="inlineStr">
        <is>
          <t>Rohan Agarwal</t>
        </is>
      </c>
      <c r="L46" s="23" t="inlineStr">
        <is>
          <t>26-Oct-2026</t>
        </is>
      </c>
    </row>
    <row r="47" ht="15" customHeight="1" s="16">
      <c r="A47" s="20" t="inlineStr">
        <is>
          <t>TC-Rec-07</t>
        </is>
      </c>
      <c r="B47" s="20" t="inlineStr">
        <is>
          <t>Medical Record</t>
        </is>
      </c>
      <c r="C47" s="20" t="inlineStr">
        <is>
          <t>HMS-F-044</t>
        </is>
      </c>
      <c r="D47" s="20" t="inlineStr">
        <is>
          <t>Create a record with no diagnosis</t>
        </is>
      </c>
      <c r="E47" s="20" t="inlineStr">
        <is>
          <t>400</t>
        </is>
      </c>
      <c r="F47" s="21" t="inlineStr">
        <is>
          <t>Unit</t>
        </is>
      </c>
      <c r="G47" s="21" t="n">
        <v>2</v>
      </c>
      <c r="H47" s="21" t="inlineStr">
        <is>
          <t>Medium</t>
        </is>
      </c>
      <c r="I47" s="22" t="inlineStr">
        <is>
          <t>Pass</t>
        </is>
      </c>
      <c r="J47" s="23" t="n"/>
      <c r="K47" s="23" t="inlineStr">
        <is>
          <t>Rohan Agarwal</t>
        </is>
      </c>
      <c r="L47" s="23" t="inlineStr">
        <is>
          <t>26-Oct-2026</t>
        </is>
      </c>
    </row>
    <row r="48" ht="15" customHeight="1" s="16">
      <c r="A48" s="20" t="inlineStr">
        <is>
          <t>TC-Adm-01</t>
        </is>
      </c>
      <c r="B48" s="20" t="inlineStr">
        <is>
          <t>Administration</t>
        </is>
      </c>
      <c r="C48" s="20" t="inlineStr">
        <is>
          <t>HMS-F-050</t>
        </is>
      </c>
      <c r="D48" s="20" t="inlineStr">
        <is>
          <t>Administrator logs in and opens the dashboard</t>
        </is>
      </c>
      <c r="E48" s="20" t="inlineStr">
        <is>
          <t>Dashboard loads with admin navigation</t>
        </is>
      </c>
      <c r="F48" s="21" t="inlineStr">
        <is>
          <t>System</t>
        </is>
      </c>
      <c r="G48" s="21" t="n">
        <v>1</v>
      </c>
      <c r="H48" s="21" t="inlineStr">
        <is>
          <t>High</t>
        </is>
      </c>
      <c r="I48" s="22" t="inlineStr">
        <is>
          <t>Not run</t>
        </is>
      </c>
      <c r="J48" s="23" t="n"/>
      <c r="K48" s="23" t="n"/>
      <c r="L48" s="23" t="n"/>
    </row>
    <row r="49" ht="23.85" customHeight="1" s="16">
      <c r="A49" s="20" t="inlineStr">
        <is>
          <t>TC-Adm-02</t>
        </is>
      </c>
      <c r="B49" s="20" t="inlineStr">
        <is>
          <t>Administration</t>
        </is>
      </c>
      <c r="C49" s="20" t="inlineStr">
        <is>
          <t>HMS-F-050</t>
        </is>
      </c>
      <c r="D49" s="20" t="inlineStr">
        <is>
          <t>Call /api/admin routes with patient token, doctor token and no token</t>
        </is>
      </c>
      <c r="E49" s="20" t="inlineStr">
        <is>
          <t>403, 403, 401</t>
        </is>
      </c>
      <c r="F49" s="21" t="inlineStr">
        <is>
          <t>Integration</t>
        </is>
      </c>
      <c r="G49" s="21" t="n">
        <v>1</v>
      </c>
      <c r="H49" s="21" t="inlineStr">
        <is>
          <t>High</t>
        </is>
      </c>
      <c r="I49" s="22" t="inlineStr">
        <is>
          <t>Pass</t>
        </is>
      </c>
      <c r="J49" s="23" t="n"/>
      <c r="K49" s="23" t="inlineStr">
        <is>
          <t>Rohan Agarwal</t>
        </is>
      </c>
      <c r="L49" s="23" t="inlineStr">
        <is>
          <t>26-Oct-2026</t>
        </is>
      </c>
    </row>
    <row r="50" ht="15" customHeight="1" s="16">
      <c r="A50" s="20" t="inlineStr">
        <is>
          <t>TC-Adm-03</t>
        </is>
      </c>
      <c r="B50" s="20" t="inlineStr">
        <is>
          <t>Administration</t>
        </is>
      </c>
      <c r="C50" s="20" t="inlineStr">
        <is>
          <t>HMS-F-051</t>
        </is>
      </c>
      <c r="D50" s="20" t="inlineStr">
        <is>
          <t>Administrator lists users filtered by role</t>
        </is>
      </c>
      <c r="E50" s="20" t="inlineStr">
        <is>
          <t>Correct users; pagination works</t>
        </is>
      </c>
      <c r="F50" s="21" t="inlineStr">
        <is>
          <t>Integration</t>
        </is>
      </c>
      <c r="G50" s="21" t="n">
        <v>1</v>
      </c>
      <c r="H50" s="21" t="inlineStr">
        <is>
          <t>High</t>
        </is>
      </c>
      <c r="I50" s="22" t="inlineStr">
        <is>
          <t>Fail</t>
        </is>
      </c>
      <c r="J50" s="23" t="inlineStr">
        <is>
          <t>#22</t>
        </is>
      </c>
      <c r="K50" s="23" t="inlineStr">
        <is>
          <t>Rohan Agarwal</t>
        </is>
      </c>
      <c r="L50" s="23" t="inlineStr">
        <is>
          <t>26-Oct-2026</t>
        </is>
      </c>
    </row>
    <row r="51" ht="15" customHeight="1" s="16">
      <c r="A51" s="20" t="inlineStr">
        <is>
          <t>TC-Adm-04</t>
        </is>
      </c>
      <c r="B51" s="20" t="inlineStr">
        <is>
          <t>Administration</t>
        </is>
      </c>
      <c r="C51" s="20" t="inlineStr">
        <is>
          <t>HMS-F-051</t>
        </is>
      </c>
      <c r="D51" s="20" t="inlineStr">
        <is>
          <t>Inspect all admin responses for password data</t>
        </is>
      </c>
      <c r="E51" s="20" t="inlineStr">
        <is>
          <t>No password or hash returned</t>
        </is>
      </c>
      <c r="F51" s="21" t="inlineStr">
        <is>
          <t>Integration</t>
        </is>
      </c>
      <c r="G51" s="21" t="n">
        <v>1</v>
      </c>
      <c r="H51" s="21" t="inlineStr">
        <is>
          <t>High</t>
        </is>
      </c>
      <c r="I51" s="22" t="inlineStr">
        <is>
          <t>Pass</t>
        </is>
      </c>
      <c r="J51" s="23" t="n"/>
      <c r="K51" s="23" t="inlineStr">
        <is>
          <t>Rohan Agarwal</t>
        </is>
      </c>
      <c r="L51" s="23" t="inlineStr">
        <is>
          <t>26-Oct-2026</t>
        </is>
      </c>
    </row>
    <row r="52" ht="15" customHeight="1" s="16">
      <c r="A52" s="20" t="inlineStr">
        <is>
          <t>TC-Adm-05</t>
        </is>
      </c>
      <c r="B52" s="20" t="inlineStr">
        <is>
          <t>Administration</t>
        </is>
      </c>
      <c r="C52" s="20" t="inlineStr">
        <is>
          <t>HMS-F-052</t>
        </is>
      </c>
      <c r="D52" s="20" t="inlineStr">
        <is>
          <t>Administrator creates a doctor and a patient account</t>
        </is>
      </c>
      <c r="E52" s="20" t="inlineStr">
        <is>
          <t>201; accounts usable</t>
        </is>
      </c>
      <c r="F52" s="21" t="inlineStr">
        <is>
          <t>Integration</t>
        </is>
      </c>
      <c r="G52" s="21" t="n">
        <v>2</v>
      </c>
      <c r="H52" s="21" t="inlineStr">
        <is>
          <t>High</t>
        </is>
      </c>
      <c r="I52" s="22" t="inlineStr">
        <is>
          <t>Pass</t>
        </is>
      </c>
      <c r="J52" s="23" t="n"/>
      <c r="K52" s="23" t="inlineStr">
        <is>
          <t>Rohan Agarwal</t>
        </is>
      </c>
      <c r="L52" s="23" t="inlineStr">
        <is>
          <t>26-Oct-2026</t>
        </is>
      </c>
    </row>
    <row r="53" ht="15" customHeight="1" s="16">
      <c r="A53" s="20" t="inlineStr">
        <is>
          <t>TC-Adm-06</t>
        </is>
      </c>
      <c r="B53" s="20" t="inlineStr">
        <is>
          <t>Administration</t>
        </is>
      </c>
      <c r="C53" s="20" t="inlineStr">
        <is>
          <t>HMS-F-053</t>
        </is>
      </c>
      <c r="D53" s="20" t="inlineStr">
        <is>
          <t>Administrator deactivates a user, who then tries to log in</t>
        </is>
      </c>
      <c r="E53" s="20" t="inlineStr">
        <is>
          <t>Login refused</t>
        </is>
      </c>
      <c r="F53" s="21" t="inlineStr">
        <is>
          <t>Integration</t>
        </is>
      </c>
      <c r="G53" s="21" t="n">
        <v>2</v>
      </c>
      <c r="H53" s="21" t="inlineStr">
        <is>
          <t>High</t>
        </is>
      </c>
      <c r="I53" s="22" t="inlineStr">
        <is>
          <t>Pass</t>
        </is>
      </c>
      <c r="J53" s="23" t="n"/>
      <c r="K53" s="23" t="inlineStr">
        <is>
          <t>Rohan Agarwal</t>
        </is>
      </c>
      <c r="L53" s="23" t="inlineStr">
        <is>
          <t>26-Oct-2026</t>
        </is>
      </c>
    </row>
    <row r="54" ht="15" customHeight="1" s="16">
      <c r="A54" s="20" t="inlineStr">
        <is>
          <t>TC-Adm-07</t>
        </is>
      </c>
      <c r="B54" s="20" t="inlineStr">
        <is>
          <t>Administration</t>
        </is>
      </c>
      <c r="C54" s="20" t="inlineStr">
        <is>
          <t>HMS-F-053</t>
        </is>
      </c>
      <c r="D54" s="20" t="inlineStr">
        <is>
          <t>Administrator reactivates the user</t>
        </is>
      </c>
      <c r="E54" s="20" t="inlineStr">
        <is>
          <t>Login works again</t>
        </is>
      </c>
      <c r="F54" s="21" t="inlineStr">
        <is>
          <t>Integration</t>
        </is>
      </c>
      <c r="G54" s="21" t="n">
        <v>2</v>
      </c>
      <c r="H54" s="21" t="inlineStr">
        <is>
          <t>Medium</t>
        </is>
      </c>
      <c r="I54" s="22" t="inlineStr">
        <is>
          <t>Pass</t>
        </is>
      </c>
      <c r="J54" s="23" t="n"/>
      <c r="K54" s="23" t="inlineStr">
        <is>
          <t>Rohan Agarwal</t>
        </is>
      </c>
      <c r="L54" s="23" t="inlineStr">
        <is>
          <t>26-Oct-2026</t>
        </is>
      </c>
    </row>
    <row r="55" ht="23.85" customHeight="1" s="16">
      <c r="A55" s="20" t="inlineStr">
        <is>
          <t>TC-Adm-08</t>
        </is>
      </c>
      <c r="B55" s="20" t="inlineStr">
        <is>
          <t>Administration</t>
        </is>
      </c>
      <c r="C55" s="20" t="inlineStr">
        <is>
          <t>HMS-F-054</t>
        </is>
      </c>
      <c r="D55" s="20" t="inlineStr">
        <is>
          <t>Administrator lists appointments filtered by doctor, patient, date and status</t>
        </is>
      </c>
      <c r="E55" s="20" t="inlineStr">
        <is>
          <t>Correct filtered list</t>
        </is>
      </c>
      <c r="F55" s="21" t="inlineStr">
        <is>
          <t>Integration</t>
        </is>
      </c>
      <c r="G55" s="21" t="n">
        <v>2</v>
      </c>
      <c r="H55" s="21" t="inlineStr">
        <is>
          <t>Medium</t>
        </is>
      </c>
      <c r="I55" s="22" t="inlineStr">
        <is>
          <t>Fail</t>
        </is>
      </c>
      <c r="J55" s="23" t="inlineStr">
        <is>
          <t>#22</t>
        </is>
      </c>
      <c r="K55" s="23" t="inlineStr">
        <is>
          <t>Rohan Agarwal</t>
        </is>
      </c>
      <c r="L55" s="23" t="inlineStr">
        <is>
          <t>26-Oct-2026</t>
        </is>
      </c>
    </row>
    <row r="56" ht="15" customHeight="1" s="16">
      <c r="A56" s="20" t="inlineStr">
        <is>
          <t>TC-Adm-09</t>
        </is>
      </c>
      <c r="B56" s="20" t="inlineStr">
        <is>
          <t>Administration</t>
        </is>
      </c>
      <c r="C56" s="20" t="inlineStr">
        <is>
          <t>HMS-F-054</t>
        </is>
      </c>
      <c r="D56" s="20" t="inlineStr">
        <is>
          <t>Administrator cancels an appointment</t>
        </is>
      </c>
      <c r="E56" s="20" t="inlineStr">
        <is>
          <t>Status updated; slot free</t>
        </is>
      </c>
      <c r="F56" s="21" t="inlineStr">
        <is>
          <t>Integration</t>
        </is>
      </c>
      <c r="G56" s="21" t="n">
        <v>2</v>
      </c>
      <c r="H56" s="21" t="inlineStr">
        <is>
          <t>Medium</t>
        </is>
      </c>
      <c r="I56" s="22" t="inlineStr">
        <is>
          <t>Pass</t>
        </is>
      </c>
      <c r="J56" s="23" t="n"/>
      <c r="K56" s="23" t="inlineStr">
        <is>
          <t>Rohan Agarwal</t>
        </is>
      </c>
      <c r="L56" s="23" t="inlineStr">
        <is>
          <t>26-Oct-2026</t>
        </is>
      </c>
    </row>
    <row r="57" ht="15" customHeight="1" s="16">
      <c r="A57" s="20" t="inlineStr">
        <is>
          <t>TC-Adm-10</t>
        </is>
      </c>
      <c r="B57" s="20" t="inlineStr">
        <is>
          <t>Administration</t>
        </is>
      </c>
      <c r="C57" s="20" t="inlineStr">
        <is>
          <t>HMS-F-055</t>
        </is>
      </c>
      <c r="D57" s="20" t="inlineStr">
        <is>
          <t>Compare dashboard counts with database counts</t>
        </is>
      </c>
      <c r="E57" s="20" t="inlineStr">
        <is>
          <t>Counts equal</t>
        </is>
      </c>
      <c r="F57" s="21" t="inlineStr">
        <is>
          <t>Integration</t>
        </is>
      </c>
      <c r="G57" s="21" t="n">
        <v>2</v>
      </c>
      <c r="H57" s="21" t="inlineStr">
        <is>
          <t>Medium</t>
        </is>
      </c>
      <c r="I57" s="22" t="inlineStr">
        <is>
          <t>Pass</t>
        </is>
      </c>
      <c r="J57" s="23" t="n"/>
      <c r="K57" s="23" t="inlineStr">
        <is>
          <t>Rohan Agarwal</t>
        </is>
      </c>
      <c r="L57" s="23" t="inlineStr">
        <is>
          <t>26-Oct-2026</t>
        </is>
      </c>
    </row>
    <row r="58" ht="15" customHeight="1" s="16">
      <c r="A58" s="20" t="inlineStr">
        <is>
          <t>TC-Adm-11</t>
        </is>
      </c>
      <c r="B58" s="20" t="inlineStr">
        <is>
          <t>Administration</t>
        </is>
      </c>
      <c r="C58" s="20" t="inlineStr">
        <is>
          <t>HMS-F-056, HMS-SR-008</t>
        </is>
      </c>
      <c r="D58" s="20" t="inlineStr">
        <is>
          <t>Open the audit log after logins and an admin action</t>
        </is>
      </c>
      <c r="E58" s="20" t="inlineStr">
        <is>
          <t>Events listed with time and actor; no passwords</t>
        </is>
      </c>
      <c r="F58" s="21" t="inlineStr">
        <is>
          <t>Integration</t>
        </is>
      </c>
      <c r="G58" s="21" t="n">
        <v>2</v>
      </c>
      <c r="H58" s="21" t="inlineStr">
        <is>
          <t>Medium</t>
        </is>
      </c>
      <c r="I58" s="22" t="inlineStr">
        <is>
          <t>Pass</t>
        </is>
      </c>
      <c r="J58" s="23" t="n"/>
      <c r="K58" s="23" t="inlineStr">
        <is>
          <t>Rohan Agarwal</t>
        </is>
      </c>
      <c r="L58" s="23" t="inlineStr">
        <is>
          <t>26-Oct-2026</t>
        </is>
      </c>
    </row>
    <row r="59" ht="15" customHeight="1" s="16">
      <c r="A59" s="20" t="inlineStr">
        <is>
          <t>TC-DB-01</t>
        </is>
      </c>
      <c r="B59" s="20" t="inlineStr">
        <is>
          <t>Data Persistence</t>
        </is>
      </c>
      <c r="C59" s="20" t="inlineStr">
        <is>
          <t>HMS-F-060</t>
        </is>
      </c>
      <c r="D59" s="20" t="inlineStr">
        <is>
          <t>Create data, restart the backend, read it back</t>
        </is>
      </c>
      <c r="E59" s="20" t="inlineStr">
        <is>
          <t>Data still present</t>
        </is>
      </c>
      <c r="F59" s="21" t="inlineStr">
        <is>
          <t>Integration</t>
        </is>
      </c>
      <c r="G59" s="21" t="n">
        <v>1</v>
      </c>
      <c r="H59" s="21" t="inlineStr">
        <is>
          <t>High</t>
        </is>
      </c>
      <c r="I59" s="22" t="inlineStr">
        <is>
          <t>Not run</t>
        </is>
      </c>
      <c r="J59" s="23" t="n"/>
      <c r="K59" s="23" t="n"/>
      <c r="L59" s="23" t="n"/>
    </row>
    <row r="60" ht="23.85" customHeight="1" s="16">
      <c r="A60" s="20" t="inlineStr">
        <is>
          <t>TC-DB-02</t>
        </is>
      </c>
      <c r="B60" s="20" t="inlineStr">
        <is>
          <t>Data Persistence</t>
        </is>
      </c>
      <c r="C60" s="20" t="inlineStr">
        <is>
          <t>HMS-F-061</t>
        </is>
      </c>
      <c r="D60" s="20" t="inlineStr">
        <is>
          <t>Insert an appointment for a non-existent doctor or patient directly in the database</t>
        </is>
      </c>
      <c r="E60" s="20" t="inlineStr">
        <is>
          <t>Rejected by foreign key</t>
        </is>
      </c>
      <c r="F60" s="21" t="inlineStr">
        <is>
          <t>Integration</t>
        </is>
      </c>
      <c r="G60" s="21" t="n">
        <v>1</v>
      </c>
      <c r="H60" s="21" t="inlineStr">
        <is>
          <t>High</t>
        </is>
      </c>
      <c r="I60" s="22" t="inlineStr">
        <is>
          <t>Not run</t>
        </is>
      </c>
      <c r="J60" s="23" t="n"/>
      <c r="K60" s="23" t="n"/>
      <c r="L60" s="23" t="n"/>
    </row>
    <row r="61" ht="15" customHeight="1" s="16">
      <c r="A61" s="20" t="inlineStr">
        <is>
          <t>TC-DB-03</t>
        </is>
      </c>
      <c r="B61" s="20" t="inlineStr">
        <is>
          <t>Data Persistence</t>
        </is>
      </c>
      <c r="C61" s="20" t="inlineStr">
        <is>
          <t>HMS-F-062</t>
        </is>
      </c>
      <c r="D61" s="20" t="inlineStr">
        <is>
          <t>Force a failure in the middle of booking</t>
        </is>
      </c>
      <c r="E61" s="20" t="inlineStr">
        <is>
          <t>Whole operation rolled back; no partial record</t>
        </is>
      </c>
      <c r="F61" s="21" t="inlineStr">
        <is>
          <t>Integration</t>
        </is>
      </c>
      <c r="G61" s="21" t="n">
        <v>2</v>
      </c>
      <c r="H61" s="21" t="inlineStr">
        <is>
          <t>High</t>
        </is>
      </c>
      <c r="I61" s="22" t="inlineStr">
        <is>
          <t>Pass</t>
        </is>
      </c>
      <c r="J61" s="23" t="n"/>
      <c r="K61" s="23" t="inlineStr">
        <is>
          <t>Rohan Agarwal</t>
        </is>
      </c>
      <c r="L61" s="23" t="inlineStr">
        <is>
          <t>26-Oct-2026</t>
        </is>
      </c>
    </row>
    <row r="62" ht="15" customHeight="1" s="16">
      <c r="A62" s="20" t="inlineStr">
        <is>
          <t>TC-DB-04</t>
        </is>
      </c>
      <c r="B62" s="20" t="inlineStr">
        <is>
          <t>Data Persistence</t>
        </is>
      </c>
      <c r="C62" s="20" t="inlineStr">
        <is>
          <t>HMS-F-063</t>
        </is>
      </c>
      <c r="D62" s="20" t="inlineStr">
        <is>
          <t>Back up the database and restore into a new schema</t>
        </is>
      </c>
      <c r="E62" s="20" t="inlineStr">
        <is>
          <t>Data restored and application works</t>
        </is>
      </c>
      <c r="F62" s="21" t="inlineStr">
        <is>
          <t>Manual</t>
        </is>
      </c>
      <c r="G62" s="21" t="n">
        <v>2</v>
      </c>
      <c r="H62" s="21" t="inlineStr">
        <is>
          <t>Low</t>
        </is>
      </c>
      <c r="I62" s="22" t="inlineStr">
        <is>
          <t>Not run</t>
        </is>
      </c>
      <c r="J62" s="23" t="n"/>
      <c r="K62" s="23" t="n"/>
      <c r="L62" s="23" t="n"/>
    </row>
    <row r="63" ht="15" customHeight="1" s="16">
      <c r="A63" s="20" t="inlineStr">
        <is>
          <t>TC-Sec-01</t>
        </is>
      </c>
      <c r="B63" s="20" t="inlineStr">
        <is>
          <t>Security</t>
        </is>
      </c>
      <c r="C63" s="20" t="inlineStr">
        <is>
          <t>HMS-SR-001</t>
        </is>
      </c>
      <c r="D63" s="20" t="inlineStr">
        <is>
          <t>Inspect the Users table after registration</t>
        </is>
      </c>
      <c r="E63" s="20" t="inlineStr">
        <is>
          <t>Only a bcrypt hash is stored</t>
        </is>
      </c>
      <c r="F63" s="21" t="inlineStr">
        <is>
          <t>Integration</t>
        </is>
      </c>
      <c r="G63" s="21" t="n">
        <v>1</v>
      </c>
      <c r="H63" s="21" t="inlineStr">
        <is>
          <t>High</t>
        </is>
      </c>
      <c r="I63" s="22" t="inlineStr">
        <is>
          <t>Pass</t>
        </is>
      </c>
      <c r="J63" s="23" t="n"/>
      <c r="K63" s="23" t="inlineStr">
        <is>
          <t>Rohan Agarwal</t>
        </is>
      </c>
      <c r="L63" s="23" t="inlineStr">
        <is>
          <t>26-Oct-2026</t>
        </is>
      </c>
    </row>
    <row r="64" ht="15" customHeight="1" s="16">
      <c r="A64" s="20" t="inlineStr">
        <is>
          <t>TC-Sec-02</t>
        </is>
      </c>
      <c r="B64" s="20" t="inlineStr">
        <is>
          <t>Security</t>
        </is>
      </c>
      <c r="C64" s="20" t="inlineStr">
        <is>
          <t>HMS-SR-002</t>
        </is>
      </c>
      <c r="D64" s="20" t="inlineStr">
        <is>
          <t>Send a token signed with a different secret</t>
        </is>
      </c>
      <c r="E64" s="20" t="inlineStr">
        <is>
          <t>401</t>
        </is>
      </c>
      <c r="F64" s="21" t="inlineStr">
        <is>
          <t>Integration</t>
        </is>
      </c>
      <c r="G64" s="21" t="n">
        <v>1</v>
      </c>
      <c r="H64" s="21" t="inlineStr">
        <is>
          <t>High</t>
        </is>
      </c>
      <c r="I64" s="22" t="inlineStr">
        <is>
          <t>Pass</t>
        </is>
      </c>
      <c r="J64" s="23" t="n"/>
      <c r="K64" s="23" t="inlineStr">
        <is>
          <t>Rohan Agarwal</t>
        </is>
      </c>
      <c r="L64" s="23" t="inlineStr">
        <is>
          <t>26-Oct-2026</t>
        </is>
      </c>
    </row>
    <row r="65" ht="15" customHeight="1" s="16">
      <c r="A65" s="20" t="inlineStr">
        <is>
          <t>TC-Sec-03</t>
        </is>
      </c>
      <c r="B65" s="20" t="inlineStr">
        <is>
          <t>Security</t>
        </is>
      </c>
      <c r="C65" s="20" t="inlineStr">
        <is>
          <t>HMS-SR-001, HMS-SR-007</t>
        </is>
      </c>
      <c r="D65" s="20" t="inlineStr">
        <is>
          <t>Review logs after register and login</t>
        </is>
      </c>
      <c r="E65" s="20" t="inlineStr">
        <is>
          <t>No password or token in logs</t>
        </is>
      </c>
      <c r="F65" s="21" t="inlineStr">
        <is>
          <t>Integration</t>
        </is>
      </c>
      <c r="G65" s="21" t="n">
        <v>2</v>
      </c>
      <c r="H65" s="21" t="inlineStr">
        <is>
          <t>High</t>
        </is>
      </c>
      <c r="I65" s="22" t="inlineStr">
        <is>
          <t>Pass</t>
        </is>
      </c>
      <c r="J65" s="23" t="n"/>
      <c r="K65" s="23" t="inlineStr">
        <is>
          <t>Rohan Agarwal</t>
        </is>
      </c>
      <c r="L65" s="23" t="inlineStr">
        <is>
          <t>26-Oct-2026</t>
        </is>
      </c>
    </row>
    <row r="66" ht="15" customHeight="1" s="16">
      <c r="A66" s="20" t="inlineStr">
        <is>
          <t>TC-Sec-04</t>
        </is>
      </c>
      <c r="B66" s="20" t="inlineStr">
        <is>
          <t>Security</t>
        </is>
      </c>
      <c r="C66" s="20" t="inlineStr">
        <is>
          <t>HMS-SR-003</t>
        </is>
      </c>
      <c r="D66" s="20" t="inlineStr">
        <is>
          <t>Call every protected route with each role (role matrix)</t>
        </is>
      </c>
      <c r="E66" s="20" t="inlineStr">
        <is>
          <t>Only permitted roles succeed; others get 403</t>
        </is>
      </c>
      <c r="F66" s="21" t="inlineStr">
        <is>
          <t>Integration</t>
        </is>
      </c>
      <c r="G66" s="21" t="n">
        <v>2</v>
      </c>
      <c r="H66" s="21" t="inlineStr">
        <is>
          <t>High</t>
        </is>
      </c>
      <c r="I66" s="22" t="inlineStr">
        <is>
          <t>Pass</t>
        </is>
      </c>
      <c r="J66" s="23" t="n"/>
      <c r="K66" s="23" t="inlineStr">
        <is>
          <t>Rohan Agarwal</t>
        </is>
      </c>
      <c r="L66" s="23" t="inlineStr">
        <is>
          <t>26-Oct-2026</t>
        </is>
      </c>
    </row>
    <row r="67" ht="15" customHeight="1" s="16">
      <c r="A67" s="20" t="inlineStr">
        <is>
          <t>TC-Sec-05</t>
        </is>
      </c>
      <c r="B67" s="20" t="inlineStr">
        <is>
          <t>Security</t>
        </is>
      </c>
      <c r="C67" s="20" t="inlineStr">
        <is>
          <t>HMS-SR-004</t>
        </is>
      </c>
      <c r="D67" s="20" t="inlineStr">
        <is>
          <t>Send ' OR '1'='1 in login and search fields</t>
        </is>
      </c>
      <c r="E67" s="20" t="inlineStr">
        <is>
          <t>Rejected or treated as plain text; no data leaked</t>
        </is>
      </c>
      <c r="F67" s="21" t="inlineStr">
        <is>
          <t>Integration</t>
        </is>
      </c>
      <c r="G67" s="21" t="n">
        <v>2</v>
      </c>
      <c r="H67" s="21" t="inlineStr">
        <is>
          <t>High</t>
        </is>
      </c>
      <c r="I67" s="22" t="inlineStr">
        <is>
          <t>Pass</t>
        </is>
      </c>
      <c r="J67" s="23" t="n"/>
      <c r="K67" s="23" t="inlineStr">
        <is>
          <t>Rohan Agarwal</t>
        </is>
      </c>
      <c r="L67" s="23" t="inlineStr">
        <is>
          <t>26-Oct-2026</t>
        </is>
      </c>
    </row>
    <row r="68" ht="15" customHeight="1" s="16">
      <c r="A68" s="20" t="inlineStr">
        <is>
          <t>TC-Sec-06</t>
        </is>
      </c>
      <c r="B68" s="20" t="inlineStr">
        <is>
          <t>Security</t>
        </is>
      </c>
      <c r="C68" s="20" t="inlineStr">
        <is>
          <t>HMS-SR-004</t>
        </is>
      </c>
      <c r="D68" s="20" t="inlineStr">
        <is>
          <t>Save a script tag in a profile field and view it</t>
        </is>
      </c>
      <c r="E68" s="20" t="inlineStr">
        <is>
          <t>Escaped; script not executed</t>
        </is>
      </c>
      <c r="F68" s="21" t="inlineStr">
        <is>
          <t>System</t>
        </is>
      </c>
      <c r="G68" s="21" t="n">
        <v>2</v>
      </c>
      <c r="H68" s="21" t="inlineStr">
        <is>
          <t>Medium</t>
        </is>
      </c>
      <c r="I68" s="22" t="inlineStr">
        <is>
          <t>Not run</t>
        </is>
      </c>
      <c r="J68" s="23" t="n"/>
      <c r="K68" s="23" t="n"/>
      <c r="L68" s="23" t="n"/>
    </row>
    <row r="69" ht="15" customHeight="1" s="16">
      <c r="A69" s="20" t="inlineStr">
        <is>
          <t>TC-Sec-07</t>
        </is>
      </c>
      <c r="B69" s="20" t="inlineStr">
        <is>
          <t>Security</t>
        </is>
      </c>
      <c r="C69" s="20" t="inlineStr">
        <is>
          <t>HMS-SR-006</t>
        </is>
      </c>
      <c r="D69" s="20" t="inlineStr">
        <is>
          <t>Scan the repository for committed secrets and .env files</t>
        </is>
      </c>
      <c r="E69" s="20" t="inlineStr">
        <is>
          <t>None found; .env is in .gitignore</t>
        </is>
      </c>
      <c r="F69" s="21" t="inlineStr">
        <is>
          <t>Manual</t>
        </is>
      </c>
      <c r="G69" s="21" t="n">
        <v>1</v>
      </c>
      <c r="H69" s="21" t="inlineStr">
        <is>
          <t>High</t>
        </is>
      </c>
      <c r="I69" s="22" t="inlineStr">
        <is>
          <t>Pass</t>
        </is>
      </c>
      <c r="J69" s="23" t="n"/>
      <c r="K69" s="23" t="inlineStr">
        <is>
          <t>Rohan Agarwal</t>
        </is>
      </c>
      <c r="L69" s="23" t="inlineStr">
        <is>
          <t>26-Oct-2026</t>
        </is>
      </c>
    </row>
    <row r="70" ht="15" customHeight="1" s="16">
      <c r="A70" s="20" t="inlineStr">
        <is>
          <t>TC-Sec-08</t>
        </is>
      </c>
      <c r="B70" s="20" t="inlineStr">
        <is>
          <t>Security</t>
        </is>
      </c>
      <c r="C70" s="20" t="inlineStr">
        <is>
          <t>HMS-SR-005</t>
        </is>
      </c>
      <c r="D70" s="20" t="inlineStr">
        <is>
          <t>Review HTTPS/TLS and CORS configuration for deployment</t>
        </is>
      </c>
      <c r="E70" s="20" t="inlineStr">
        <is>
          <t>HTTPS enabled or documented; CORS restricted</t>
        </is>
      </c>
      <c r="F70" s="21" t="inlineStr">
        <is>
          <t>Manual</t>
        </is>
      </c>
      <c r="G70" s="21" t="n">
        <v>2</v>
      </c>
      <c r="H70" s="21" t="inlineStr">
        <is>
          <t>Low</t>
        </is>
      </c>
      <c r="I70" s="22" t="inlineStr">
        <is>
          <t>Not run</t>
        </is>
      </c>
      <c r="J70" s="23" t="n"/>
      <c r="K70" s="23" t="n"/>
      <c r="L70" s="23" t="n"/>
    </row>
    <row r="71" ht="15" customHeight="1" s="16">
      <c r="A71" s="20" t="inlineStr">
        <is>
          <t>TC-Sec-09</t>
        </is>
      </c>
      <c r="B71" s="20" t="inlineStr">
        <is>
          <t>Security</t>
        </is>
      </c>
      <c r="C71" s="20" t="inlineStr">
        <is>
          <t>HMS-SR-007</t>
        </is>
      </c>
      <c r="D71" s="20" t="inlineStr">
        <is>
          <t>Trigger server and validation errors and read the responses</t>
        </is>
      </c>
      <c r="E71" s="20" t="inlineStr">
        <is>
          <t>Clear message; no stack trace or internal details</t>
        </is>
      </c>
      <c r="F71" s="21" t="inlineStr">
        <is>
          <t>Integration</t>
        </is>
      </c>
      <c r="G71" s="21" t="n">
        <v>2</v>
      </c>
      <c r="H71" s="21" t="inlineStr">
        <is>
          <t>High</t>
        </is>
      </c>
      <c r="I71" s="22" t="inlineStr">
        <is>
          <t>Pass</t>
        </is>
      </c>
      <c r="J71" s="23" t="n"/>
      <c r="K71" s="23" t="inlineStr">
        <is>
          <t>Rohan Agarwal</t>
        </is>
      </c>
      <c r="L71" s="23" t="inlineStr">
        <is>
          <t>26-Oct-2026</t>
        </is>
      </c>
    </row>
    <row r="72" ht="15" customHeight="1" s="16">
      <c r="A72" s="20" t="inlineStr">
        <is>
          <t>TC-Perf-01</t>
        </is>
      </c>
      <c r="B72" s="20" t="inlineStr">
        <is>
          <t>Performance</t>
        </is>
      </c>
      <c r="C72" s="20" t="inlineStr">
        <is>
          <t>HMS-NF-001</t>
        </is>
      </c>
      <c r="D72" s="20" t="inlineStr">
        <is>
          <t>50 concurrent users call availability and booking for 30 seconds</t>
        </is>
      </c>
      <c r="E72" s="20" t="inlineStr">
        <is>
          <t>At least 95% of requests under 2 seconds</t>
        </is>
      </c>
      <c r="F72" s="21" t="inlineStr">
        <is>
          <t>Integration</t>
        </is>
      </c>
      <c r="G72" s="21" t="n">
        <v>2</v>
      </c>
      <c r="H72" s="21" t="inlineStr">
        <is>
          <t>Medium</t>
        </is>
      </c>
      <c r="I72" s="22" t="inlineStr">
        <is>
          <t>Not run</t>
        </is>
      </c>
      <c r="J72" s="23" t="n"/>
      <c r="K72" s="23" t="n"/>
      <c r="L72" s="23" t="n"/>
    </row>
    <row r="73" ht="15" customHeight="1" s="16">
      <c r="A73" s="20" t="inlineStr">
        <is>
          <t>TC-Rel-01</t>
        </is>
      </c>
      <c r="B73" s="20" t="inlineStr">
        <is>
          <t>Reliability</t>
        </is>
      </c>
      <c r="C73" s="20" t="inlineStr">
        <is>
          <t>HMS-NF-002</t>
        </is>
      </c>
      <c r="D73" s="20" t="inlineStr">
        <is>
          <t>Send malformed JSON; stop the database and call an API</t>
        </is>
      </c>
      <c r="E73" s="20" t="inlineStr">
        <is>
          <t>Clear message and correct status; no crash</t>
        </is>
      </c>
      <c r="F73" s="21" t="inlineStr">
        <is>
          <t>Integration</t>
        </is>
      </c>
      <c r="G73" s="21" t="n">
        <v>2</v>
      </c>
      <c r="H73" s="21" t="inlineStr">
        <is>
          <t>Medium</t>
        </is>
      </c>
      <c r="I73" s="22" t="inlineStr">
        <is>
          <t>Pass</t>
        </is>
      </c>
      <c r="J73" s="23" t="n"/>
      <c r="K73" s="23" t="inlineStr">
        <is>
          <t>Rohan Agarwal</t>
        </is>
      </c>
      <c r="L73" s="23" t="inlineStr">
        <is>
          <t>26-Oct-2026</t>
        </is>
      </c>
    </row>
    <row r="74" ht="15" customHeight="1" s="16">
      <c r="A74" s="20" t="inlineStr">
        <is>
          <t>TC-UX-01</t>
        </is>
      </c>
      <c r="B74" s="20" t="inlineStr">
        <is>
          <t>Usability</t>
        </is>
      </c>
      <c r="C74" s="20" t="inlineStr">
        <is>
          <t>HMS-NF-003</t>
        </is>
      </c>
      <c r="D74" s="20" t="inlineStr">
        <is>
          <t>Timed walkthrough: log in and book an appointment</t>
        </is>
      </c>
      <c r="E74" s="20" t="inlineStr">
        <is>
          <t>Done in 5 steps or fewer; messages visible</t>
        </is>
      </c>
      <c r="F74" s="21" t="inlineStr">
        <is>
          <t>Manual</t>
        </is>
      </c>
      <c r="G74" s="21" t="n">
        <v>2</v>
      </c>
      <c r="H74" s="21" t="inlineStr">
        <is>
          <t>Medium</t>
        </is>
      </c>
      <c r="I74" s="22" t="inlineStr">
        <is>
          <t>Not run</t>
        </is>
      </c>
      <c r="J74" s="23" t="n"/>
      <c r="K74" s="23" t="n"/>
      <c r="L74" s="23" t="n"/>
    </row>
    <row r="75" ht="15" customHeight="1" s="16">
      <c r="A75" s="20" t="inlineStr">
        <is>
          <t>TC-Maint-01</t>
        </is>
      </c>
      <c r="B75" s="20" t="inlineStr">
        <is>
          <t>Maintainability</t>
        </is>
      </c>
      <c r="C75" s="20" t="inlineStr">
        <is>
          <t>HMS-NF-004</t>
        </is>
      </c>
      <c r="D75" s="20" t="inlineStr">
        <is>
          <t>Open one PR with a failing test and one with passing tests</t>
        </is>
      </c>
      <c r="E75" s="20" t="inlineStr">
        <is>
          <t>CI fails the first and passes the second</t>
        </is>
      </c>
      <c r="F75" s="21" t="inlineStr">
        <is>
          <t>Integration</t>
        </is>
      </c>
      <c r="G75" s="21" t="n">
        <v>1</v>
      </c>
      <c r="H75" s="21" t="inlineStr">
        <is>
          <t>High</t>
        </is>
      </c>
      <c r="I75" s="22" t="inlineStr">
        <is>
          <t>Not run</t>
        </is>
      </c>
      <c r="J75" s="23" t="n"/>
      <c r="K75" s="23" t="n"/>
      <c r="L75" s="23" t="n"/>
    </row>
    <row r="76" ht="23.85" customHeight="1" s="16">
      <c r="A76" s="20" t="inlineStr">
        <is>
          <t>TC-Int-01</t>
        </is>
      </c>
      <c r="B76" s="20" t="inlineStr">
        <is>
          <t>Data Integrity</t>
        </is>
      </c>
      <c r="C76" s="20" t="inlineStr">
        <is>
          <t>HMS-NF-005, HMS-F-031</t>
        </is>
      </c>
      <c r="D76" s="20" t="inlineStr">
        <is>
          <t>Run a random sequence of book, reschedule and cancel actions</t>
        </is>
      </c>
      <c r="E76" s="20" t="inlineStr">
        <is>
          <t>No orphan rows; no slot with two active appointments</t>
        </is>
      </c>
      <c r="F76" s="21" t="inlineStr">
        <is>
          <t>Integration</t>
        </is>
      </c>
      <c r="G76" s="21" t="n">
        <v>2</v>
      </c>
      <c r="H76" s="21" t="inlineStr">
        <is>
          <t>Medium</t>
        </is>
      </c>
      <c r="I76" s="22" t="inlineStr">
        <is>
          <t>Not run</t>
        </is>
      </c>
      <c r="J76" s="23" t="n"/>
      <c r="K76" s="23" t="n"/>
      <c r="L76" s="23" t="n"/>
    </row>
    <row r="77" ht="23.85" customHeight="1" s="16">
      <c r="A77" s="20" t="inlineStr">
        <is>
          <t>TC-Compat-01</t>
        </is>
      </c>
      <c r="B77" s="20" t="inlineStr">
        <is>
          <t>Compatibility</t>
        </is>
      </c>
      <c r="C77" s="20" t="inlineStr">
        <is>
          <t>HMS-NF-006</t>
        </is>
      </c>
      <c r="D77" s="20" t="inlineStr">
        <is>
          <t>Smoke test login and booking on Chrome, Firefox, Edge and at 360 px width</t>
        </is>
      </c>
      <c r="E77" s="20" t="inlineStr">
        <is>
          <t>Works on all</t>
        </is>
      </c>
      <c r="F77" s="21" t="inlineStr">
        <is>
          <t>Manual</t>
        </is>
      </c>
      <c r="G77" s="21" t="n">
        <v>2</v>
      </c>
      <c r="H77" s="21" t="inlineStr">
        <is>
          <t>Low</t>
        </is>
      </c>
      <c r="I77" s="22" t="inlineStr">
        <is>
          <t>Not run</t>
        </is>
      </c>
      <c r="J77" s="23" t="n"/>
      <c r="K77" s="23" t="n"/>
      <c r="L77" s="23" t="n"/>
    </row>
    <row r="78" ht="15" customHeight="1" s="16">
      <c r="A78" s="20" t="inlineStr">
        <is>
          <t>TC-Aud-01</t>
        </is>
      </c>
      <c r="B78" s="20" t="inlineStr">
        <is>
          <t>Auditability</t>
        </is>
      </c>
      <c r="C78" s="20" t="inlineStr">
        <is>
          <t>HMS-NF-007, HMS-SR-008</t>
        </is>
      </c>
      <c r="D78" s="20" t="inlineStr">
        <is>
          <t>Fail a login, succeed a login, deactivate a user</t>
        </is>
      </c>
      <c r="E78" s="20" t="inlineStr">
        <is>
          <t>Three entries in the audit log with time and actor</t>
        </is>
      </c>
      <c r="F78" s="21" t="inlineStr">
        <is>
          <t>Integration</t>
        </is>
      </c>
      <c r="G78" s="21" t="n">
        <v>2</v>
      </c>
      <c r="H78" s="21" t="inlineStr">
        <is>
          <t>Medium</t>
        </is>
      </c>
      <c r="I78" s="22" t="inlineStr">
        <is>
          <t>Pass</t>
        </is>
      </c>
      <c r="J78" s="23" t="n"/>
      <c r="K78" s="23" t="inlineStr">
        <is>
          <t>Rohan Agarwal</t>
        </is>
      </c>
      <c r="L78" s="23" t="inlineStr">
        <is>
          <t>26-Oct-2026</t>
        </is>
      </c>
    </row>
    <row r="79" ht="23.85" customHeight="1" s="16">
      <c r="A79" s="20" t="inlineStr">
        <is>
          <t>TC-E2E-01</t>
        </is>
      </c>
      <c r="B79" s="20" t="inlineStr">
        <is>
          <t>End-to-end</t>
        </is>
      </c>
      <c r="C79" s="20" t="inlineStr">
        <is>
          <t>HMS-F-030</t>
        </is>
      </c>
      <c r="D79" s="20" t="inlineStr">
        <is>
          <t>SAD flow 1: patient logs in, searches doctor availability, selects a slot, books</t>
        </is>
      </c>
      <c r="E79" s="20" t="inlineStr">
        <is>
          <t>Confirmation shown; appointment visible to patient and doctor</t>
        </is>
      </c>
      <c r="F79" s="21" t="inlineStr">
        <is>
          <t>System</t>
        </is>
      </c>
      <c r="G79" s="21" t="n">
        <v>2</v>
      </c>
      <c r="H79" s="21" t="inlineStr">
        <is>
          <t>High</t>
        </is>
      </c>
      <c r="I79" s="22" t="inlineStr">
        <is>
          <t>Not run</t>
        </is>
      </c>
      <c r="J79" s="23" t="n"/>
      <c r="K79" s="23" t="n"/>
      <c r="L79" s="23" t="n"/>
    </row>
    <row r="80" ht="23.85" customHeight="1" s="16">
      <c r="A80" s="20" t="inlineStr">
        <is>
          <t>TC-E2E-02</t>
        </is>
      </c>
      <c r="B80" s="20" t="inlineStr">
        <is>
          <t>End-to-end</t>
        </is>
      </c>
      <c r="C80" s="20" t="inlineStr">
        <is>
          <t>HMS-F-040</t>
        </is>
      </c>
      <c r="D80" s="20" t="inlineStr">
        <is>
          <t>SAD flow 2: doctor logs in, selects a patient, updates the record</t>
        </is>
      </c>
      <c r="E80" s="20" t="inlineStr">
        <is>
          <t>Confirmation shown; patient sees the update read-only</t>
        </is>
      </c>
      <c r="F80" s="21" t="inlineStr">
        <is>
          <t>System</t>
        </is>
      </c>
      <c r="G80" s="21" t="n">
        <v>2</v>
      </c>
      <c r="H80" s="21" t="inlineStr">
        <is>
          <t>High</t>
        </is>
      </c>
      <c r="I80" s="22" t="inlineStr">
        <is>
          <t>Not run</t>
        </is>
      </c>
      <c r="J80" s="23" t="n"/>
      <c r="K80" s="23" t="n"/>
      <c r="L80" s="23" t="n"/>
    </row>
    <row r="81" ht="23.85" customHeight="1" s="16">
      <c r="A81" s="20" t="inlineStr">
        <is>
          <t>TC-E2E-03</t>
        </is>
      </c>
      <c r="B81" s="20" t="inlineStr">
        <is>
          <t>End-to-end</t>
        </is>
      </c>
      <c r="C81" s="20" t="inlineStr">
        <is>
          <t>HMS-F-052, HMS-F-030, HMS-F-054</t>
        </is>
      </c>
      <c r="D81" s="20" t="inlineStr">
        <is>
          <t>Administrator creates a doctor; doctor adds a slot; patient books; administrator cancels</t>
        </is>
      </c>
      <c r="E81" s="20" t="inlineStr">
        <is>
          <t>Slot becomes free again</t>
        </is>
      </c>
      <c r="F81" s="21" t="inlineStr">
        <is>
          <t>System</t>
        </is>
      </c>
      <c r="G81" s="21" t="n">
        <v>2</v>
      </c>
      <c r="H81" s="21" t="inlineStr">
        <is>
          <t>High</t>
        </is>
      </c>
      <c r="I81" s="22" t="inlineStr">
        <is>
          <t>Not run</t>
        </is>
      </c>
      <c r="J81" s="23" t="n"/>
      <c r="K81" s="23" t="n"/>
      <c r="L81" s="23" t="n"/>
    </row>
    <row r="82" ht="15" customHeight="1" s="16">
      <c r="A82" s="20" t="inlineStr">
        <is>
          <t>TC-E2E-04</t>
        </is>
      </c>
      <c r="B82" s="20" t="inlineStr">
        <is>
          <t>End-to-end</t>
        </is>
      </c>
      <c r="C82" s="20" t="inlineStr">
        <is>
          <t>HMS-F-004</t>
        </is>
      </c>
      <c r="D82" s="20" t="inlineStr">
        <is>
          <t>Log in as each role and try to open pages of the other roles</t>
        </is>
      </c>
      <c r="E82" s="20" t="inlineStr">
        <is>
          <t>Only permitted pages are visible and reachable</t>
        </is>
      </c>
      <c r="F82" s="21" t="inlineStr">
        <is>
          <t>System</t>
        </is>
      </c>
      <c r="G82" s="21" t="n">
        <v>2</v>
      </c>
      <c r="H82" s="21" t="inlineStr">
        <is>
          <t>Medium</t>
        </is>
      </c>
      <c r="I82" s="22" t="inlineStr">
        <is>
          <t>Not run</t>
        </is>
      </c>
      <c r="J82" s="23" t="n"/>
      <c r="K82" s="23" t="n"/>
      <c r="L82" s="23" t="n"/>
    </row>
  </sheetData>
  <autoFilter ref="A4:L82"/>
  <dataValidations count="1">
    <dataValidation sqref="I5:I82" showDropDown="0" showInputMessage="0" showErrorMessage="0" allowBlank="0" type="list" errorStyle="stop" operator="between">
      <formula1>"Not run,Pass,Fail,Blocked"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5" min="1" max="1"/>
    <col width="10" customWidth="1" style="15" min="2" max="2"/>
    <col width="8" customWidth="1" style="15" min="3" max="4"/>
    <col width="10" customWidth="1" style="15" min="5" max="8"/>
  </cols>
  <sheetData>
    <row r="1" ht="16.15" customHeight="1" s="16">
      <c r="A1" s="17" t="inlineStr">
        <is>
          <t>Test Execution Summary (updates from the Status column)</t>
        </is>
      </c>
    </row>
    <row r="3" ht="15" customHeight="1" s="16">
      <c r="A3" s="24" t="inlineStr">
        <is>
          <t>Sprint</t>
        </is>
      </c>
      <c r="B3" s="24" t="inlineStr">
        <is>
          <t>Planned</t>
        </is>
      </c>
      <c r="C3" s="24" t="inlineStr">
        <is>
          <t>Pass</t>
        </is>
      </c>
      <c r="D3" s="24" t="inlineStr">
        <is>
          <t>Fail</t>
        </is>
      </c>
      <c r="E3" s="24" t="inlineStr">
        <is>
          <t>Blocked</t>
        </is>
      </c>
      <c r="F3" s="24" t="inlineStr">
        <is>
          <t>Not run</t>
        </is>
      </c>
      <c r="G3" s="24" t="inlineStr">
        <is>
          <t>Executed</t>
        </is>
      </c>
      <c r="H3" s="24" t="inlineStr">
        <is>
          <t>Pass %</t>
        </is>
      </c>
    </row>
    <row r="4" ht="15" customHeight="1" s="16">
      <c r="A4" s="25" t="inlineStr">
        <is>
          <t>Sprint 1</t>
        </is>
      </c>
      <c r="B4" s="25">
        <f>COUNTIFS('Test Cases'!$A$5:$A$82,"&lt;&gt;",'Test Cases'!$G$5:$G$82,1)</f>
        <v/>
      </c>
      <c r="C4" s="25">
        <f>COUNTIFS('Test Cases'!$I$5:$I$82,"Pass",'Test Cases'!$G$5:$G$82,1)</f>
        <v/>
      </c>
      <c r="D4" s="25">
        <f>COUNTIFS('Test Cases'!$I$5:$I$82,"Fail",'Test Cases'!$G$5:$G$82,1)</f>
        <v/>
      </c>
      <c r="E4" s="25">
        <f>COUNTIFS('Test Cases'!$I$5:$I$82,"Blocked",'Test Cases'!$G$5:$G$82,1)</f>
        <v/>
      </c>
      <c r="F4" s="25">
        <f>COUNTIFS('Test Cases'!$I$5:$I$82,"Not run",'Test Cases'!$G$5:$G$82,1)</f>
        <v/>
      </c>
      <c r="G4" s="25">
        <f>C4+D4</f>
        <v/>
      </c>
      <c r="H4" s="26">
        <f>IFERROR(C4/G4,0)</f>
        <v/>
      </c>
    </row>
    <row r="5" ht="15" customHeight="1" s="16">
      <c r="A5" s="25" t="inlineStr">
        <is>
          <t>Sprint 2</t>
        </is>
      </c>
      <c r="B5" s="25">
        <f>COUNTIFS('Test Cases'!$A$5:$A$82,"&lt;&gt;",'Test Cases'!$G$5:$G$82,2)</f>
        <v/>
      </c>
      <c r="C5" s="25">
        <f>COUNTIFS('Test Cases'!$I$5:$I$82,"Pass",'Test Cases'!$G$5:$G$82,2)</f>
        <v/>
      </c>
      <c r="D5" s="25">
        <f>COUNTIFS('Test Cases'!$I$5:$I$82,"Fail",'Test Cases'!$G$5:$G$82,2)</f>
        <v/>
      </c>
      <c r="E5" s="25">
        <f>COUNTIFS('Test Cases'!$I$5:$I$82,"Blocked",'Test Cases'!$G$5:$G$82,2)</f>
        <v/>
      </c>
      <c r="F5" s="25">
        <f>COUNTIFS('Test Cases'!$I$5:$I$82,"Not run",'Test Cases'!$G$5:$G$82,2)</f>
        <v/>
      </c>
      <c r="G5" s="25">
        <f>C5+D5</f>
        <v/>
      </c>
      <c r="H5" s="26">
        <f>IFERROR(C5/G5,0)</f>
        <v/>
      </c>
    </row>
    <row r="6" ht="15" customHeight="1" s="16">
      <c r="A6" s="27" t="inlineStr">
        <is>
          <t>Total</t>
        </is>
      </c>
      <c r="B6" s="27">
        <f>COUNTA('Test Cases'!$A$5:$A$82)</f>
        <v/>
      </c>
      <c r="C6" s="27">
        <f>COUNTIFS('Test Cases'!$I$5:$I$82,"Pass")</f>
        <v/>
      </c>
      <c r="D6" s="27">
        <f>COUNTIFS('Test Cases'!$I$5:$I$82,"Fail")</f>
        <v/>
      </c>
      <c r="E6" s="27">
        <f>COUNTIFS('Test Cases'!$I$5:$I$82,"Blocked")</f>
        <v/>
      </c>
      <c r="F6" s="27">
        <f>COUNTIFS('Test Cases'!$I$5:$I$82,"Not run")</f>
        <v/>
      </c>
      <c r="G6" s="27">
        <f>C6+D6</f>
        <v/>
      </c>
      <c r="H6" s="28">
        <f>IFERROR(C6/G6,0)</f>
        <v/>
      </c>
    </row>
    <row r="8" ht="15" customHeight="1" s="16">
      <c r="A8" s="18" t="inlineStr">
        <is>
          <t>Executed = Pass + Fail (Blocked and Not run are not counted as executed). Pass % = Pass / Executed.</t>
        </is>
      </c>
    </row>
    <row r="10" ht="15" customHeight="1" s="16">
      <c r="A10" s="29" t="inlineStr">
        <is>
          <t>By priority</t>
        </is>
      </c>
    </row>
    <row r="11" ht="15" customHeight="1" s="16">
      <c r="A11" s="30" t="inlineStr">
        <is>
          <t>Priority</t>
        </is>
      </c>
      <c r="B11" s="30" t="inlineStr">
        <is>
          <t>Planned</t>
        </is>
      </c>
      <c r="C11" s="30" t="inlineStr">
        <is>
          <t>Pass</t>
        </is>
      </c>
      <c r="D11" s="30" t="inlineStr">
        <is>
          <t>Fail</t>
        </is>
      </c>
    </row>
    <row r="12" ht="15" customHeight="1" s="16">
      <c r="A12" s="25" t="inlineStr">
        <is>
          <t>High</t>
        </is>
      </c>
      <c r="B12" s="25">
        <f>COUNTIFS('Test Cases'!$H$5:$H$82,A12)</f>
        <v/>
      </c>
      <c r="C12" s="25">
        <f>COUNTIFS('Test Cases'!$H$5:$H$82,A12,'Test Cases'!$I$5:$I$82,"Pass")</f>
        <v/>
      </c>
      <c r="D12" s="25">
        <f>COUNTIFS('Test Cases'!$H$5:$H$82,A12,'Test Cases'!$I$5:$I$82,"Fail")</f>
        <v/>
      </c>
    </row>
    <row r="13" ht="15" customHeight="1" s="16">
      <c r="A13" s="25" t="inlineStr">
        <is>
          <t>Medium</t>
        </is>
      </c>
      <c r="B13" s="25">
        <f>COUNTIFS('Test Cases'!$H$5:$H$82,A13)</f>
        <v/>
      </c>
      <c r="C13" s="25">
        <f>COUNTIFS('Test Cases'!$H$5:$H$82,A13,'Test Cases'!$I$5:$I$82,"Pass")</f>
        <v/>
      </c>
      <c r="D13" s="25">
        <f>COUNTIFS('Test Cases'!$H$5:$H$82,A13,'Test Cases'!$I$5:$I$82,"Fail")</f>
        <v/>
      </c>
    </row>
    <row r="14" ht="15" customHeight="1" s="16">
      <c r="A14" s="25" t="inlineStr">
        <is>
          <t>Low</t>
        </is>
      </c>
      <c r="B14" s="25">
        <f>COUNTIFS('Test Cases'!$H$5:$H$82,A14)</f>
        <v/>
      </c>
      <c r="C14" s="25">
        <f>COUNTIFS('Test Cases'!$H$5:$H$82,A14,'Test Cases'!$I$5:$I$82,"Pass")</f>
        <v/>
      </c>
      <c r="D14" s="25">
        <f>COUNTIFS('Test Cases'!$H$5:$H$82,A14,'Test Cases'!$I$5:$I$82,"Fail")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2026-10-14T03:07:11Z</dcterms:created>
  <dcterms:modified xmlns:dcterms="http://purl.org/dc/terms/" xmlns:xsi="http://www.w3.org/2001/XMLSchema-instance" xsi:type="dcterms:W3CDTF">2026-10-26T05:21:45Z</dcterms:modified>
  <cp:revision>0</cp:revision>
</cp:coreProperties>
</file>